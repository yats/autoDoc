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228" codeName="{4D1C537B-E38A-612A-F078-A93A15B4B7F4}"/>
  <workbookPr codeName="ThisWorkbook"/>
  <mc:AlternateContent xmlns:mc="http://schemas.openxmlformats.org/markup-compatibility/2006">
    <mc:Choice Requires="x15">
      <x15ac:absPath xmlns:x15ac="http://schemas.microsoft.com/office/spreadsheetml/2010/11/ac" url="C:\Work\Sandbox\autoDoc\src\main\resources\template\"/>
    </mc:Choice>
  </mc:AlternateContent>
  <xr:revisionPtr revIDLastSave="0" documentId="13_ncr:1_{9A13037E-CB10-4C84-99FF-600330912B70}" xr6:coauthVersionLast="47" xr6:coauthVersionMax="47" xr10:uidLastSave="{00000000-0000-0000-0000-000000000000}"/>
  <bookViews>
    <workbookView xWindow="-120" yWindow="-120" windowWidth="29040" windowHeight="15840" xr2:uid="{00000000-000D-0000-FFFF-FFFF00000000}"/>
  </bookViews>
  <sheets>
    <sheet name="Grille d'estimation" sheetId="1" r:id="rId1"/>
    <sheet name="Abaques" sheetId="4" r:id="rId2"/>
    <sheet name="Hypothèses" sheetId="5" r:id="rId3"/>
    <sheet name="Chiffrage MT" sheetId="14" r:id="rId4"/>
  </sheets>
  <definedNames>
    <definedName name="Complexité">"S;M;C"</definedName>
    <definedName name="Impact" localSheetId="2">Hypothèses!#REF!</definedName>
    <definedName name="Impact">Abaques!#REF!</definedName>
    <definedName name="ImpactComplexite" localSheetId="2">Hypothèses!#REF!</definedName>
    <definedName name="ImpactComplexite">Abaques!$C$6:$H$6</definedName>
    <definedName name="TableauAbaques" localSheetId="2">Hypothèses!#REF!</definedName>
    <definedName name="TableauAbaques">Abaques!$B$6:$H$18</definedName>
    <definedName name="Typologie" localSheetId="2">Hypothèses!#REF!</definedName>
    <definedName name="Typologie">Abaques!$B$7:$B$18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J24" i="14" l="1"/>
  <c r="J23" i="14"/>
  <c r="J22" i="14"/>
  <c r="J21" i="14"/>
  <c r="J20" i="14"/>
  <c r="J19" i="14"/>
  <c r="J18" i="14"/>
  <c r="J17" i="14"/>
  <c r="J16" i="14"/>
  <c r="J25" i="14" s="1"/>
  <c r="O24" i="1"/>
  <c r="J23" i="1"/>
  <c r="K23" i="1" s="1"/>
  <c r="N23" i="1" s="1"/>
  <c r="J22" i="1"/>
  <c r="K22" i="1" s="1"/>
  <c r="N22" i="1" s="1"/>
  <c r="J21" i="1"/>
  <c r="K21" i="1" s="1"/>
  <c r="N21" i="1" s="1"/>
  <c r="J20" i="1"/>
  <c r="K20" i="1" s="1"/>
  <c r="N20" i="1" s="1"/>
  <c r="J25" i="1"/>
  <c r="K25" i="1" s="1"/>
  <c r="N25" i="1" s="1"/>
  <c r="O25" i="1" s="1"/>
  <c r="J24" i="1"/>
  <c r="K24" i="1" s="1"/>
  <c r="N24" i="1" s="1"/>
  <c r="J26" i="1"/>
  <c r="K26" i="1" s="1"/>
  <c r="N26" i="1" s="1"/>
  <c r="O26" i="1" s="1"/>
  <c r="J27" i="1"/>
  <c r="K27" i="1" s="1"/>
  <c r="N27" i="1" s="1"/>
  <c r="O27" i="1" s="1"/>
  <c r="L28" i="1"/>
  <c r="M28" i="1"/>
  <c r="O23" i="1" l="1"/>
  <c r="P23" i="1" s="1"/>
  <c r="O22" i="1"/>
  <c r="P22" i="1" s="1"/>
  <c r="O21" i="1"/>
  <c r="P21" i="1" s="1"/>
  <c r="O20" i="1"/>
  <c r="P20" i="1" s="1"/>
  <c r="P27" i="1"/>
  <c r="P26" i="1"/>
  <c r="P24" i="1"/>
  <c r="P25" i="1"/>
  <c r="J19" i="1"/>
  <c r="J28" i="1" s="1"/>
  <c r="K19" i="1" l="1"/>
  <c r="K28" i="1" l="1"/>
  <c r="N19" i="1"/>
  <c r="O19" i="1" l="1"/>
  <c r="O28" i="1" s="1"/>
  <c r="N28" i="1"/>
  <c r="C33" i="1" l="1"/>
  <c r="C35" i="1"/>
  <c r="C34" i="1"/>
  <c r="C36" i="1"/>
  <c r="J9" i="1"/>
  <c r="C32" i="1"/>
  <c r="P28" i="1"/>
  <c r="J10" i="1" s="1"/>
  <c r="P19" i="1"/>
  <c r="J8" i="1"/>
  <c r="C37" i="1" l="1"/>
  <c r="J11" i="1" s="1"/>
  <c r="J12" i="1" s="1"/>
</calcChain>
</file>

<file path=xl/sharedStrings.xml><?xml version="1.0" encoding="utf-8"?>
<sst xmlns="http://schemas.openxmlformats.org/spreadsheetml/2006/main" count="123" uniqueCount="86">
  <si>
    <t>Description</t>
  </si>
  <si>
    <t>Réalisation</t>
  </si>
  <si>
    <t>Evolution</t>
  </si>
  <si>
    <t>Domaine / Lot</t>
  </si>
  <si>
    <t>Composant</t>
  </si>
  <si>
    <t>% de Reuse</t>
  </si>
  <si>
    <t>Typologie</t>
  </si>
  <si>
    <t>Impact</t>
  </si>
  <si>
    <t>Complexité</t>
  </si>
  <si>
    <t>Nombre</t>
  </si>
  <si>
    <t>Commentaires</t>
  </si>
  <si>
    <t>Nombre de jours vendu</t>
  </si>
  <si>
    <t>Justification de la correction de l'estimation / Abaque</t>
  </si>
  <si>
    <t>Nbr jrs  abaque</t>
  </si>
  <si>
    <t>Nbr jrs re-use</t>
  </si>
  <si>
    <t>Estimation min expert</t>
  </si>
  <si>
    <t>Estimation max expert</t>
  </si>
  <si>
    <t>Estimation réaliste</t>
  </si>
  <si>
    <t>Liste des impacts</t>
  </si>
  <si>
    <t>IHM Flex - Restitution de données</t>
  </si>
  <si>
    <t>IHM Flex - Formulaire de saisie</t>
  </si>
  <si>
    <t>Service Métier Java</t>
  </si>
  <si>
    <t>Service Web Java</t>
  </si>
  <si>
    <t>Service Batch Java</t>
  </si>
  <si>
    <t>Paramétrage - Script BDD</t>
  </si>
  <si>
    <t>Package de Migration BDD</t>
  </si>
  <si>
    <t>Package d'extraction</t>
  </si>
  <si>
    <t>Rapport Décisionnel</t>
  </si>
  <si>
    <t>Rapport Opérationnel</t>
  </si>
  <si>
    <t>Description des impacts</t>
  </si>
  <si>
    <t>Simple</t>
  </si>
  <si>
    <t>Moyen</t>
  </si>
  <si>
    <t>Complexe</t>
  </si>
  <si>
    <t xml:space="preserve">1 objet restitué </t>
  </si>
  <si>
    <t xml:space="preserve">de 2 à 5 objets restitués </t>
  </si>
  <si>
    <t>plus de 5 objets restitués</t>
  </si>
  <si>
    <t>Moins de 5 champs</t>
  </si>
  <si>
    <t>de 5 à 10 champs</t>
  </si>
  <si>
    <t>plus de 10 champs</t>
  </si>
  <si>
    <t>1 fonction métier implémentée</t>
  </si>
  <si>
    <t>2 à 5 fonctions métier</t>
  </si>
  <si>
    <t>plus de 5 fonctions métiers</t>
  </si>
  <si>
    <t>1 à 2 tables impactés</t>
  </si>
  <si>
    <t>3 à 6 tables impactés</t>
  </si>
  <si>
    <t>Plus de 7 tables impactés</t>
  </si>
  <si>
    <t>1 à 2 tables cible</t>
  </si>
  <si>
    <t>3 à 6 tables cibles</t>
  </si>
  <si>
    <t>Plus de 7 tables cibles</t>
  </si>
  <si>
    <t>1 à 2 tables sources</t>
  </si>
  <si>
    <t xml:space="preserve">3 à 6 tables sources </t>
  </si>
  <si>
    <t>Plus de 7 tables sources</t>
  </si>
  <si>
    <t>1  à 2 axes</t>
  </si>
  <si>
    <t>3 à 5 axes</t>
  </si>
  <si>
    <t>Plus de 6 axes</t>
  </si>
  <si>
    <t>plus de 7 tables sources</t>
  </si>
  <si>
    <t>IHM Angular - Restitution de données</t>
  </si>
  <si>
    <t>IHM Angular- Formulaire de saisie</t>
  </si>
  <si>
    <t>S - Création</t>
  </si>
  <si>
    <t>M - Création</t>
  </si>
  <si>
    <t>C - Création</t>
  </si>
  <si>
    <t>S - Modification</t>
  </si>
  <si>
    <t>M - Modification</t>
  </si>
  <si>
    <t>C - Modification</t>
  </si>
  <si>
    <t>Marge provisionning</t>
  </si>
  <si>
    <t>Hypothèse de chiffrage</t>
  </si>
  <si>
    <t>Numéro de la ligne du chiffrages impacté</t>
  </si>
  <si>
    <t>Hors Réalisation</t>
  </si>
  <si>
    <t>Etude/Chiffrage</t>
  </si>
  <si>
    <t>Packaging et livraison</t>
  </si>
  <si>
    <t>Assistance à la recette</t>
  </si>
  <si>
    <t>Gestion de la branche</t>
  </si>
  <si>
    <t>Gestion de projet</t>
  </si>
  <si>
    <t xml:space="preserve">Estimé </t>
  </si>
  <si>
    <t>Pourcentage</t>
  </si>
  <si>
    <t>Chiffrage dev estimé</t>
  </si>
  <si>
    <t>Chiffrage dev vendu</t>
  </si>
  <si>
    <t>Provisionning dev</t>
  </si>
  <si>
    <t>DEV</t>
  </si>
  <si>
    <t>Estimation hors réalisation</t>
  </si>
  <si>
    <t>Hors DEV</t>
  </si>
  <si>
    <t>Pourcentage total estimé</t>
  </si>
  <si>
    <t>Création</t>
  </si>
  <si>
    <t>S</t>
  </si>
  <si>
    <t>{ID_JIRA} {TITRE}</t>
  </si>
  <si>
    <t>{Description FC}</t>
  </si>
  <si>
    <t>{DESCRIPTION}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</si>
</sst>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0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color indexed="9"/>
      <name val="Tahoma"/>
      <family val="2"/>
    </font>
    <font>
      <sz val="10"/>
      <color theme="1"/>
      <name val="Calibri"/>
      <family val="2"/>
      <scheme val="minor"/>
    </font>
    <font>
      <sz val="10"/>
      <color indexed="9"/>
      <name val="Calibri"/>
      <family val="2"/>
      <scheme val="minor"/>
    </font>
    <font>
      <sz val="10"/>
      <color theme="0"/>
      <name val="Calibri"/>
      <family val="2"/>
      <scheme val="minor"/>
    </font>
    <font>
      <b/>
      <sz val="10"/>
      <color indexed="9"/>
      <name val="Tahoma"/>
      <family val="2"/>
    </font>
    <font>
      <sz val="10"/>
      <color indexed="8"/>
      <name val="Tahoma"/>
      <family val="2"/>
    </font>
    <font>
      <sz val="10"/>
      <name val="Arial"/>
      <family val="2"/>
    </font>
    <font>
      <b/>
      <i/>
      <sz val="11"/>
      <color rgb="FF000000"/>
      <name val="Calibri"/>
      <family val="2"/>
    </font>
  </fonts>
  <fills count="7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4" tint="-0.49998474074526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4"/>
        <bgColor indexed="64"/>
      </patternFill>
    </fill>
  </fills>
  <borders count="1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</borders>
  <cellStyleXfs count="2">
    <xf numFmtId="0" fontId="0" fillId="0" borderId="0"/>
    <xf numFmtId="9" fontId="1" fillId="0" borderId="0" applyFont="0" applyFill="0" applyBorder="0" applyAlignment="0" applyProtection="0"/>
  </cellStyleXfs>
  <cellXfs count="68">
    <xf numFmtId="0" fontId="0" fillId="0" borderId="0" xfId="0"/>
    <xf numFmtId="9" fontId="0" fillId="0" borderId="0" xfId="1" applyFont="1"/>
    <xf numFmtId="0" fontId="3" fillId="0" borderId="0" xfId="0" applyFont="1"/>
    <xf numFmtId="0" fontId="3" fillId="0" borderId="0" xfId="0" applyFont="1" applyAlignment="1"/>
    <xf numFmtId="0" fontId="3" fillId="0" borderId="0" xfId="0" applyFont="1" applyAlignment="1">
      <alignment horizontal="center" vertical="center"/>
    </xf>
    <xf numFmtId="0" fontId="3" fillId="0" borderId="0" xfId="0" applyFont="1" applyAlignment="1">
      <alignment horizontal="left" vertical="top"/>
    </xf>
    <xf numFmtId="0" fontId="3" fillId="2" borderId="1" xfId="0" applyFont="1" applyFill="1" applyBorder="1"/>
    <xf numFmtId="0" fontId="0" fillId="2" borderId="1" xfId="0" applyFill="1" applyBorder="1"/>
    <xf numFmtId="9" fontId="3" fillId="2" borderId="1" xfId="1" applyFont="1" applyFill="1" applyBorder="1"/>
    <xf numFmtId="0" fontId="3" fillId="0" borderId="0" xfId="0" applyFont="1" applyBorder="1" applyAlignment="1"/>
    <xf numFmtId="0" fontId="0" fillId="0" borderId="0" xfId="0" applyAlignment="1">
      <alignment vertical="center"/>
    </xf>
    <xf numFmtId="0" fontId="4" fillId="4" borderId="2" xfId="0" applyFont="1" applyFill="1" applyBorder="1" applyAlignment="1" applyProtection="1">
      <alignment horizontal="center" vertical="center" wrapText="1"/>
    </xf>
    <xf numFmtId="0" fontId="2" fillId="4" borderId="3" xfId="0" applyFont="1" applyFill="1" applyBorder="1" applyAlignment="1" applyProtection="1">
      <alignment vertical="center"/>
    </xf>
    <xf numFmtId="0" fontId="6" fillId="4" borderId="3" xfId="0" applyFont="1" applyFill="1" applyBorder="1" applyAlignment="1" applyProtection="1">
      <alignment vertical="center"/>
    </xf>
    <xf numFmtId="0" fontId="7" fillId="2" borderId="1" xfId="0" applyFont="1" applyFill="1" applyBorder="1" applyAlignment="1" applyProtection="1">
      <alignment horizontal="center" vertical="center"/>
    </xf>
    <xf numFmtId="0" fontId="6" fillId="4" borderId="3" xfId="0" applyFont="1" applyFill="1" applyBorder="1" applyAlignment="1" applyProtection="1">
      <alignment horizontal="center" vertical="center"/>
    </xf>
    <xf numFmtId="0" fontId="6" fillId="4" borderId="3" xfId="0" applyNumberFormat="1" applyFont="1" applyFill="1" applyBorder="1" applyAlignment="1" applyProtection="1">
      <alignment horizontal="center" vertical="center"/>
    </xf>
    <xf numFmtId="0" fontId="0" fillId="5" borderId="0" xfId="0" applyFill="1" applyBorder="1"/>
    <xf numFmtId="0" fontId="4" fillId="4" borderId="1" xfId="0" applyFont="1" applyFill="1" applyBorder="1" applyAlignment="1" applyProtection="1">
      <alignment horizontal="center" vertical="center" wrapText="1"/>
    </xf>
    <xf numFmtId="0" fontId="3" fillId="2" borderId="1" xfId="0" applyFont="1" applyFill="1" applyBorder="1" applyAlignment="1">
      <alignment horizontal="center"/>
    </xf>
    <xf numFmtId="9" fontId="3" fillId="2" borderId="1" xfId="1" applyFont="1" applyFill="1" applyBorder="1" applyAlignment="1">
      <alignment horizontal="right"/>
    </xf>
    <xf numFmtId="0" fontId="4" fillId="4" borderId="5" xfId="0" applyFont="1" applyFill="1" applyBorder="1" applyAlignment="1" applyProtection="1">
      <alignment horizontal="right" vertical="center" wrapText="1"/>
    </xf>
    <xf numFmtId="0" fontId="3" fillId="0" borderId="0" xfId="0" applyFont="1" applyAlignment="1">
      <alignment horizontal="right"/>
    </xf>
    <xf numFmtId="0" fontId="8" fillId="0" borderId="1" xfId="0" applyFont="1" applyBorder="1" applyAlignment="1">
      <alignment wrapText="1"/>
    </xf>
    <xf numFmtId="0" fontId="0" fillId="0" borderId="1" xfId="0" applyBorder="1" applyAlignment="1">
      <alignment horizontal="center" vertical="center" wrapText="1"/>
    </xf>
    <xf numFmtId="0" fontId="0" fillId="0" borderId="1" xfId="0" applyBorder="1" applyAlignment="1">
      <alignment horizontal="right" wrapText="1"/>
    </xf>
    <xf numFmtId="0" fontId="0" fillId="0" borderId="1" xfId="0" applyBorder="1" applyAlignment="1">
      <alignment wrapText="1"/>
    </xf>
    <xf numFmtId="0" fontId="0" fillId="0" borderId="1" xfId="0" applyBorder="1"/>
    <xf numFmtId="0" fontId="4" fillId="3" borderId="1" xfId="0" applyFont="1" applyFill="1" applyBorder="1" applyAlignment="1" applyProtection="1">
      <alignment horizontal="center" vertical="center" wrapText="1"/>
    </xf>
    <xf numFmtId="0" fontId="3" fillId="0" borderId="1" xfId="0" applyFont="1" applyBorder="1"/>
    <xf numFmtId="9" fontId="3" fillId="0" borderId="1" xfId="0" applyNumberFormat="1" applyFont="1" applyBorder="1"/>
    <xf numFmtId="0" fontId="5" fillId="6" borderId="1" xfId="0" applyFont="1" applyFill="1" applyBorder="1"/>
    <xf numFmtId="0" fontId="5" fillId="6" borderId="1" xfId="0" applyFont="1" applyFill="1" applyBorder="1" applyAlignment="1">
      <alignment horizontal="left"/>
    </xf>
    <xf numFmtId="0" fontId="3" fillId="5" borderId="0" xfId="0" applyFont="1" applyFill="1" applyAlignment="1"/>
    <xf numFmtId="0" fontId="5" fillId="5" borderId="0" xfId="0" applyFont="1" applyFill="1" applyBorder="1" applyAlignment="1">
      <alignment horizontal="center" vertical="center"/>
    </xf>
    <xf numFmtId="0" fontId="5" fillId="5" borderId="0" xfId="0" applyFont="1" applyFill="1" applyBorder="1" applyAlignment="1">
      <alignment horizontal="left"/>
    </xf>
    <xf numFmtId="0" fontId="3" fillId="5" borderId="0" xfId="0" applyFont="1" applyFill="1" applyBorder="1" applyAlignment="1">
      <alignment horizontal="center"/>
    </xf>
    <xf numFmtId="0" fontId="5" fillId="5" borderId="0" xfId="0" applyFont="1" applyFill="1" applyAlignment="1">
      <alignment horizontal="center" vertical="center"/>
    </xf>
    <xf numFmtId="0" fontId="3" fillId="5" borderId="0" xfId="0" applyFont="1" applyFill="1" applyBorder="1" applyAlignment="1">
      <alignment horizontal="left" vertical="center"/>
    </xf>
    <xf numFmtId="0" fontId="3" fillId="5" borderId="0" xfId="0" applyFont="1" applyFill="1"/>
    <xf numFmtId="0" fontId="0" fillId="5" borderId="0" xfId="0" applyFill="1"/>
    <xf numFmtId="0" fontId="3" fillId="5" borderId="0" xfId="0" applyFont="1" applyFill="1" applyBorder="1"/>
    <xf numFmtId="0" fontId="5" fillId="5" borderId="0" xfId="0" applyFont="1" applyFill="1" applyBorder="1" applyAlignment="1">
      <alignment vertical="center"/>
    </xf>
    <xf numFmtId="0" fontId="3" fillId="5" borderId="0" xfId="0" applyFont="1" applyFill="1" applyBorder="1" applyAlignment="1">
      <alignment vertical="center"/>
    </xf>
    <xf numFmtId="0" fontId="3" fillId="0" borderId="0" xfId="0" applyFont="1" applyAlignment="1">
      <alignment horizontal="center"/>
    </xf>
    <xf numFmtId="0" fontId="3" fillId="2" borderId="1" xfId="0" applyFont="1" applyFill="1" applyBorder="1" applyAlignment="1">
      <alignment wrapText="1"/>
    </xf>
    <xf numFmtId="9" fontId="4" fillId="5" borderId="1" xfId="1" applyFont="1" applyFill="1" applyBorder="1" applyAlignment="1" applyProtection="1">
      <alignment horizontal="right" vertical="center" wrapText="1"/>
    </xf>
    <xf numFmtId="0" fontId="5" fillId="4" borderId="1" xfId="0" applyFont="1" applyFill="1" applyBorder="1" applyAlignment="1">
      <alignment horizontal="center" vertical="center" wrapText="1"/>
    </xf>
    <xf numFmtId="0" fontId="3" fillId="0" borderId="1" xfId="0" applyFont="1" applyBorder="1" applyAlignment="1">
      <alignment horizontal="right"/>
    </xf>
    <xf numFmtId="9" fontId="3" fillId="0" borderId="1" xfId="1" applyFont="1" applyBorder="1" applyAlignment="1">
      <alignment horizontal="right"/>
    </xf>
    <xf numFmtId="0" fontId="5" fillId="4" borderId="2" xfId="0" applyFont="1" applyFill="1" applyBorder="1" applyAlignment="1">
      <alignment horizontal="center" vertical="center"/>
    </xf>
    <xf numFmtId="0" fontId="5" fillId="4" borderId="5" xfId="0" applyFont="1" applyFill="1" applyBorder="1" applyAlignment="1">
      <alignment horizontal="center" vertical="center"/>
    </xf>
    <xf numFmtId="0" fontId="5" fillId="4" borderId="8" xfId="0" applyFont="1" applyFill="1" applyBorder="1" applyAlignment="1">
      <alignment horizontal="center" vertical="center"/>
    </xf>
    <xf numFmtId="0" fontId="5" fillId="4" borderId="9" xfId="0" applyFont="1" applyFill="1" applyBorder="1" applyAlignment="1">
      <alignment horizontal="center" vertical="center"/>
    </xf>
    <xf numFmtId="0" fontId="5" fillId="4" borderId="11" xfId="0" applyFont="1" applyFill="1" applyBorder="1" applyAlignment="1">
      <alignment horizontal="center" vertical="center"/>
    </xf>
    <xf numFmtId="0" fontId="3" fillId="0" borderId="6" xfId="0" applyFont="1" applyBorder="1" applyAlignment="1">
      <alignment horizontal="center" vertical="center"/>
    </xf>
    <xf numFmtId="0" fontId="3" fillId="0" borderId="7" xfId="0" applyFont="1" applyBorder="1" applyAlignment="1">
      <alignment horizontal="center" vertical="center"/>
    </xf>
    <xf numFmtId="0" fontId="3" fillId="0" borderId="12" xfId="0" applyFont="1" applyBorder="1" applyAlignment="1">
      <alignment horizontal="center" vertical="center"/>
    </xf>
    <xf numFmtId="0" fontId="3" fillId="0" borderId="13" xfId="0" applyFont="1" applyBorder="1" applyAlignment="1">
      <alignment horizontal="center" vertical="center"/>
    </xf>
    <xf numFmtId="0" fontId="3" fillId="0" borderId="10" xfId="0" applyFont="1" applyBorder="1" applyAlignment="1">
      <alignment horizontal="center" vertical="center"/>
    </xf>
    <xf numFmtId="0" fontId="3" fillId="0" borderId="11" xfId="0" applyFont="1" applyBorder="1" applyAlignment="1">
      <alignment horizontal="center" vertical="center"/>
    </xf>
    <xf numFmtId="0" fontId="3" fillId="0" borderId="14" xfId="0" applyFont="1" applyBorder="1" applyAlignment="1">
      <alignment horizontal="center" vertical="center"/>
    </xf>
    <xf numFmtId="0" fontId="3" fillId="0" borderId="0" xfId="0" applyFont="1" applyBorder="1" applyAlignment="1">
      <alignment horizontal="center" vertical="center"/>
    </xf>
    <xf numFmtId="0" fontId="3" fillId="0" borderId="9" xfId="0" applyFont="1" applyBorder="1" applyAlignment="1">
      <alignment horizontal="center" vertical="center"/>
    </xf>
    <xf numFmtId="0" fontId="6" fillId="4" borderId="1" xfId="0" applyFont="1" applyFill="1" applyBorder="1" applyAlignment="1" applyProtection="1">
      <alignment horizontal="center" vertical="center"/>
    </xf>
    <xf numFmtId="0" fontId="7" fillId="2" borderId="1" xfId="0" applyFont="1" applyFill="1" applyBorder="1" applyAlignment="1" applyProtection="1">
      <alignment horizontal="center" vertical="center"/>
    </xf>
    <xf numFmtId="0" fontId="7" fillId="2" borderId="3" xfId="0" applyFont="1" applyFill="1" applyBorder="1" applyAlignment="1" applyProtection="1">
      <alignment horizontal="center" vertical="center"/>
    </xf>
    <xf numFmtId="0" fontId="7" fillId="2" borderId="4" xfId="0" applyFont="1" applyFill="1" applyBorder="1" applyAlignment="1" applyProtection="1">
      <alignment horizontal="center" vertical="center"/>
    </xf>
  </cellXfs>
  <cellStyles count="2">
    <cellStyle name="Normal" xfId="0" builtinId="0"/>
    <cellStyle name="Pourcentage" xfId="1" builtinId="5"/>
  </cellStyles>
  <dxfs count="1">
    <dxf>
      <font>
        <b/>
        <i val="0"/>
        <color rgb="FFFF0000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1</xdr:col>
      <xdr:colOff>59764</xdr:colOff>
      <xdr:row>1</xdr:row>
      <xdr:rowOff>119529</xdr:rowOff>
    </xdr:from>
    <xdr:ext cx="1076325" cy="361950"/>
    <xdr:pic>
      <xdr:nvPicPr>
        <xdr:cNvPr id="2" name="Image 1" descr="intelcom_logo_grupo_new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/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821764" y="306294"/>
          <a:ext cx="1076325" cy="3619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66675</xdr:colOff>
          <xdr:row>1</xdr:row>
          <xdr:rowOff>142875</xdr:rowOff>
        </xdr:from>
        <xdr:to>
          <xdr:col>2</xdr:col>
          <xdr:colOff>1276350</xdr:colOff>
          <xdr:row>3</xdr:row>
          <xdr:rowOff>123825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1" i="1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Ajouter une ligne de chiffrage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1419225</xdr:colOff>
          <xdr:row>1</xdr:row>
          <xdr:rowOff>142875</xdr:rowOff>
        </xdr:from>
        <xdr:to>
          <xdr:col>4</xdr:col>
          <xdr:colOff>685800</xdr:colOff>
          <xdr:row>3</xdr:row>
          <xdr:rowOff>123825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1" i="1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Générer chiffrage MT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52294</xdr:colOff>
      <xdr:row>1</xdr:row>
      <xdr:rowOff>112059</xdr:rowOff>
    </xdr:from>
    <xdr:to>
      <xdr:col>1</xdr:col>
      <xdr:colOff>1128619</xdr:colOff>
      <xdr:row>3</xdr:row>
      <xdr:rowOff>100480</xdr:rowOff>
    </xdr:to>
    <xdr:pic>
      <xdr:nvPicPr>
        <xdr:cNvPr id="2" name="Image 1" descr="intelcom_logo_grupo_new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/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814294" y="298824"/>
          <a:ext cx="1076325" cy="3619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52294</xdr:colOff>
      <xdr:row>1</xdr:row>
      <xdr:rowOff>112059</xdr:rowOff>
    </xdr:from>
    <xdr:to>
      <xdr:col>1</xdr:col>
      <xdr:colOff>1128619</xdr:colOff>
      <xdr:row>3</xdr:row>
      <xdr:rowOff>100480</xdr:rowOff>
    </xdr:to>
    <xdr:pic>
      <xdr:nvPicPr>
        <xdr:cNvPr id="2" name="Image 1" descr="intelcom_logo_grupo_new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PicPr/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814294" y="296209"/>
          <a:ext cx="1076325" cy="356721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59764</xdr:colOff>
      <xdr:row>3</xdr:row>
      <xdr:rowOff>119529</xdr:rowOff>
    </xdr:from>
    <xdr:to>
      <xdr:col>1</xdr:col>
      <xdr:colOff>1139899</xdr:colOff>
      <xdr:row>5</xdr:row>
      <xdr:rowOff>109855</xdr:rowOff>
    </xdr:to>
    <xdr:pic>
      <xdr:nvPicPr>
        <xdr:cNvPr id="3" name="Image 2" descr="intelcom_logo_grupo_new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PicPr/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1158314" y="303679"/>
          <a:ext cx="1076325" cy="356721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1</xdr:col>
      <xdr:colOff>59764</xdr:colOff>
      <xdr:row>3</xdr:row>
      <xdr:rowOff>119529</xdr:rowOff>
    </xdr:from>
    <xdr:to>
      <xdr:col>1</xdr:col>
      <xdr:colOff>1139899</xdr:colOff>
      <xdr:row>5</xdr:row>
      <xdr:rowOff>109855</xdr:rowOff>
    </xdr:to>
    <xdr:pic>
      <xdr:nvPicPr>
        <xdr:cNvPr id="4" name="Image 3" descr="intelcom_logo_grupo_new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PicPr/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1158314" y="303679"/>
          <a:ext cx="1076325" cy="356721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1</xdr:col>
      <xdr:colOff>59764</xdr:colOff>
      <xdr:row>3</xdr:row>
      <xdr:rowOff>119529</xdr:rowOff>
    </xdr:from>
    <xdr:to>
      <xdr:col>1</xdr:col>
      <xdr:colOff>1139899</xdr:colOff>
      <xdr:row>5</xdr:row>
      <xdr:rowOff>109855</xdr:rowOff>
    </xdr:to>
    <xdr:pic>
      <xdr:nvPicPr>
        <xdr:cNvPr id="5" name="Image 4" descr="intelcom_logo_grupo_new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PicPr/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1158314" y="303679"/>
          <a:ext cx="1076325" cy="356721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1</xdr:col>
      <xdr:colOff>59764</xdr:colOff>
      <xdr:row>3</xdr:row>
      <xdr:rowOff>119529</xdr:rowOff>
    </xdr:from>
    <xdr:to>
      <xdr:col>1</xdr:col>
      <xdr:colOff>1139899</xdr:colOff>
      <xdr:row>5</xdr:row>
      <xdr:rowOff>109855</xdr:rowOff>
    </xdr:to>
    <xdr:pic>
      <xdr:nvPicPr>
        <xdr:cNvPr id="6" name="Image 5" descr="intelcom_logo_grupo_new">
          <a:extLst>
            <a:ext uri="{FF2B5EF4-FFF2-40B4-BE49-F238E27FC236}">
              <a16:creationId xmlns:a16="http://schemas.microsoft.com/office/drawing/2014/main" id="{00000000-0008-0000-0300-000006000000}"/>
            </a:ext>
          </a:extLst>
        </xdr:cNvPr>
        <xdr:cNvPicPr/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1158314" y="303679"/>
          <a:ext cx="1076325" cy="356721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1</xdr:col>
      <xdr:colOff>59764</xdr:colOff>
      <xdr:row>3</xdr:row>
      <xdr:rowOff>119529</xdr:rowOff>
    </xdr:from>
    <xdr:to>
      <xdr:col>1</xdr:col>
      <xdr:colOff>1139899</xdr:colOff>
      <xdr:row>5</xdr:row>
      <xdr:rowOff>109855</xdr:rowOff>
    </xdr:to>
    <xdr:pic>
      <xdr:nvPicPr>
        <xdr:cNvPr id="7" name="Image 6" descr="intelcom_logo_grupo_new">
          <a:extLst>
            <a:ext uri="{FF2B5EF4-FFF2-40B4-BE49-F238E27FC236}">
              <a16:creationId xmlns:a16="http://schemas.microsoft.com/office/drawing/2014/main" id="{00000000-0008-0000-0300-000007000000}"/>
            </a:ext>
          </a:extLst>
        </xdr:cNvPr>
        <xdr:cNvPicPr/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1158314" y="303679"/>
          <a:ext cx="1076325" cy="356721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oneCellAnchor>
    <xdr:from>
      <xdr:col>1</xdr:col>
      <xdr:colOff>59764</xdr:colOff>
      <xdr:row>3</xdr:row>
      <xdr:rowOff>119529</xdr:rowOff>
    </xdr:from>
    <xdr:ext cx="1076325" cy="361950"/>
    <xdr:pic>
      <xdr:nvPicPr>
        <xdr:cNvPr id="8" name="Image 7" descr="intelcom_logo_grupo_new">
          <a:extLst>
            <a:ext uri="{FF2B5EF4-FFF2-40B4-BE49-F238E27FC236}">
              <a16:creationId xmlns:a16="http://schemas.microsoft.com/office/drawing/2014/main" id="{00000000-0008-0000-0300-000008000000}"/>
            </a:ext>
          </a:extLst>
        </xdr:cNvPr>
        <xdr:cNvPicPr/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790014" y="303679"/>
          <a:ext cx="1076325" cy="3619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1</xdr:col>
      <xdr:colOff>59764</xdr:colOff>
      <xdr:row>3</xdr:row>
      <xdr:rowOff>119529</xdr:rowOff>
    </xdr:from>
    <xdr:ext cx="1076325" cy="361950"/>
    <xdr:pic>
      <xdr:nvPicPr>
        <xdr:cNvPr id="9" name="Image 8" descr="intelcom_logo_grupo_new">
          <a:extLst>
            <a:ext uri="{FF2B5EF4-FFF2-40B4-BE49-F238E27FC236}">
              <a16:creationId xmlns:a16="http://schemas.microsoft.com/office/drawing/2014/main" id="{00000000-0008-0000-0300-000009000000}"/>
            </a:ext>
          </a:extLst>
        </xdr:cNvPr>
        <xdr:cNvPicPr/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790014" y="303679"/>
          <a:ext cx="1076325" cy="3619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1</xdr:col>
      <xdr:colOff>59764</xdr:colOff>
      <xdr:row>3</xdr:row>
      <xdr:rowOff>119529</xdr:rowOff>
    </xdr:from>
    <xdr:ext cx="1076325" cy="361950"/>
    <xdr:pic>
      <xdr:nvPicPr>
        <xdr:cNvPr id="10" name="Image 9" descr="intelcom_logo_grupo_new">
          <a:extLst>
            <a:ext uri="{FF2B5EF4-FFF2-40B4-BE49-F238E27FC236}">
              <a16:creationId xmlns:a16="http://schemas.microsoft.com/office/drawing/2014/main" id="{00000000-0008-0000-0300-00000A000000}"/>
            </a:ext>
          </a:extLst>
        </xdr:cNvPr>
        <xdr:cNvPicPr/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790014" y="303679"/>
          <a:ext cx="1076325" cy="3619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1</xdr:col>
      <xdr:colOff>59764</xdr:colOff>
      <xdr:row>3</xdr:row>
      <xdr:rowOff>119529</xdr:rowOff>
    </xdr:from>
    <xdr:ext cx="1076325" cy="361950"/>
    <xdr:pic>
      <xdr:nvPicPr>
        <xdr:cNvPr id="11" name="Image 10" descr="intelcom_logo_grupo_new">
          <a:extLst>
            <a:ext uri="{FF2B5EF4-FFF2-40B4-BE49-F238E27FC236}">
              <a16:creationId xmlns:a16="http://schemas.microsoft.com/office/drawing/2014/main" id="{00000000-0008-0000-0300-00000B000000}"/>
            </a:ext>
          </a:extLst>
        </xdr:cNvPr>
        <xdr:cNvPicPr/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790014" y="303679"/>
          <a:ext cx="1076325" cy="3619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1</xdr:col>
      <xdr:colOff>59764</xdr:colOff>
      <xdr:row>3</xdr:row>
      <xdr:rowOff>119529</xdr:rowOff>
    </xdr:from>
    <xdr:ext cx="1076325" cy="361950"/>
    <xdr:pic>
      <xdr:nvPicPr>
        <xdr:cNvPr id="12" name="Image 11" descr="intelcom_logo_grupo_new">
          <a:extLst>
            <a:ext uri="{FF2B5EF4-FFF2-40B4-BE49-F238E27FC236}">
              <a16:creationId xmlns:a16="http://schemas.microsoft.com/office/drawing/2014/main" id="{00000000-0008-0000-0300-00000C000000}"/>
            </a:ext>
          </a:extLst>
        </xdr:cNvPr>
        <xdr:cNvPicPr/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790014" y="303679"/>
          <a:ext cx="1076325" cy="3619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1</xdr:col>
      <xdr:colOff>59764</xdr:colOff>
      <xdr:row>3</xdr:row>
      <xdr:rowOff>119529</xdr:rowOff>
    </xdr:from>
    <xdr:ext cx="1076325" cy="361950"/>
    <xdr:pic>
      <xdr:nvPicPr>
        <xdr:cNvPr id="13" name="Image 12" descr="intelcom_logo_grupo_new">
          <a:extLst>
            <a:ext uri="{FF2B5EF4-FFF2-40B4-BE49-F238E27FC236}">
              <a16:creationId xmlns:a16="http://schemas.microsoft.com/office/drawing/2014/main" id="{00000000-0008-0000-0300-00000D000000}"/>
            </a:ext>
          </a:extLst>
        </xdr:cNvPr>
        <xdr:cNvPicPr/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790014" y="303679"/>
          <a:ext cx="1076325" cy="3619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1</xdr:col>
      <xdr:colOff>59764</xdr:colOff>
      <xdr:row>3</xdr:row>
      <xdr:rowOff>119529</xdr:rowOff>
    </xdr:from>
    <xdr:ext cx="1076325" cy="361950"/>
    <xdr:pic>
      <xdr:nvPicPr>
        <xdr:cNvPr id="14" name="Image 13" descr="intelcom_logo_grupo_new">
          <a:extLst>
            <a:ext uri="{FF2B5EF4-FFF2-40B4-BE49-F238E27FC236}">
              <a16:creationId xmlns:a16="http://schemas.microsoft.com/office/drawing/2014/main" id="{00000000-0008-0000-0300-00000E000000}"/>
            </a:ext>
          </a:extLst>
        </xdr:cNvPr>
        <xdr:cNvPicPr/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790014" y="303679"/>
          <a:ext cx="1076325" cy="3619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1</xdr:col>
      <xdr:colOff>59764</xdr:colOff>
      <xdr:row>3</xdr:row>
      <xdr:rowOff>119529</xdr:rowOff>
    </xdr:from>
    <xdr:ext cx="1076325" cy="361950"/>
    <xdr:pic>
      <xdr:nvPicPr>
        <xdr:cNvPr id="15" name="Image 14" descr="intelcom_logo_grupo_new">
          <a:extLst>
            <a:ext uri="{FF2B5EF4-FFF2-40B4-BE49-F238E27FC236}">
              <a16:creationId xmlns:a16="http://schemas.microsoft.com/office/drawing/2014/main" id="{00000000-0008-0000-0300-00000F000000}"/>
            </a:ext>
          </a:extLst>
        </xdr:cNvPr>
        <xdr:cNvPicPr/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790014" y="303679"/>
          <a:ext cx="1076325" cy="3619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1</xdr:col>
      <xdr:colOff>59764</xdr:colOff>
      <xdr:row>3</xdr:row>
      <xdr:rowOff>119529</xdr:rowOff>
    </xdr:from>
    <xdr:ext cx="1076325" cy="361950"/>
    <xdr:pic>
      <xdr:nvPicPr>
        <xdr:cNvPr id="16" name="Image 15" descr="intelcom_logo_grupo_new">
          <a:extLst>
            <a:ext uri="{FF2B5EF4-FFF2-40B4-BE49-F238E27FC236}">
              <a16:creationId xmlns:a16="http://schemas.microsoft.com/office/drawing/2014/main" id="{00000000-0008-0000-0300-000010000000}"/>
            </a:ext>
          </a:extLst>
        </xdr:cNvPr>
        <xdr:cNvPicPr/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790014" y="303679"/>
          <a:ext cx="1076325" cy="3619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1</xdr:col>
      <xdr:colOff>59764</xdr:colOff>
      <xdr:row>3</xdr:row>
      <xdr:rowOff>119529</xdr:rowOff>
    </xdr:from>
    <xdr:ext cx="1076325" cy="361950"/>
    <xdr:pic>
      <xdr:nvPicPr>
        <xdr:cNvPr id="17" name="Image 16" descr="intelcom_logo_grupo_new">
          <a:extLst>
            <a:ext uri="{FF2B5EF4-FFF2-40B4-BE49-F238E27FC236}">
              <a16:creationId xmlns:a16="http://schemas.microsoft.com/office/drawing/2014/main" id="{00000000-0008-0000-0300-000011000000}"/>
            </a:ext>
          </a:extLst>
        </xdr:cNvPr>
        <xdr:cNvPicPr/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790014" y="303679"/>
          <a:ext cx="1076325" cy="3619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1</xdr:col>
      <xdr:colOff>59764</xdr:colOff>
      <xdr:row>3</xdr:row>
      <xdr:rowOff>119529</xdr:rowOff>
    </xdr:from>
    <xdr:ext cx="1076325" cy="361950"/>
    <xdr:pic>
      <xdr:nvPicPr>
        <xdr:cNvPr id="18" name="Image 17" descr="intelcom_logo_grupo_new">
          <a:extLst>
            <a:ext uri="{FF2B5EF4-FFF2-40B4-BE49-F238E27FC236}">
              <a16:creationId xmlns:a16="http://schemas.microsoft.com/office/drawing/2014/main" id="{00000000-0008-0000-0300-000012000000}"/>
            </a:ext>
          </a:extLst>
        </xdr:cNvPr>
        <xdr:cNvPicPr/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790014" y="303679"/>
          <a:ext cx="1076325" cy="3619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1</xdr:col>
      <xdr:colOff>59764</xdr:colOff>
      <xdr:row>3</xdr:row>
      <xdr:rowOff>119529</xdr:rowOff>
    </xdr:from>
    <xdr:ext cx="1076325" cy="361950"/>
    <xdr:pic>
      <xdr:nvPicPr>
        <xdr:cNvPr id="19" name="Image 18" descr="intelcom_logo_grupo_new">
          <a:extLst>
            <a:ext uri="{FF2B5EF4-FFF2-40B4-BE49-F238E27FC236}">
              <a16:creationId xmlns:a16="http://schemas.microsoft.com/office/drawing/2014/main" id="{00000000-0008-0000-0300-000013000000}"/>
            </a:ext>
          </a:extLst>
        </xdr:cNvPr>
        <xdr:cNvPicPr/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790014" y="303679"/>
          <a:ext cx="1076325" cy="3619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1</xdr:col>
      <xdr:colOff>59764</xdr:colOff>
      <xdr:row>3</xdr:row>
      <xdr:rowOff>119529</xdr:rowOff>
    </xdr:from>
    <xdr:ext cx="1076325" cy="361950"/>
    <xdr:pic>
      <xdr:nvPicPr>
        <xdr:cNvPr id="20" name="Image 19" descr="intelcom_logo_grupo_new">
          <a:extLst>
            <a:ext uri="{FF2B5EF4-FFF2-40B4-BE49-F238E27FC236}">
              <a16:creationId xmlns:a16="http://schemas.microsoft.com/office/drawing/2014/main" id="{00000000-0008-0000-0300-000014000000}"/>
            </a:ext>
          </a:extLst>
        </xdr:cNvPr>
        <xdr:cNvPicPr/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790014" y="303679"/>
          <a:ext cx="1076325" cy="3619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1</xdr:col>
      <xdr:colOff>59764</xdr:colOff>
      <xdr:row>3</xdr:row>
      <xdr:rowOff>119529</xdr:rowOff>
    </xdr:from>
    <xdr:ext cx="1076325" cy="361950"/>
    <xdr:pic>
      <xdr:nvPicPr>
        <xdr:cNvPr id="21" name="Image 20" descr="intelcom_logo_grupo_new">
          <a:extLst>
            <a:ext uri="{FF2B5EF4-FFF2-40B4-BE49-F238E27FC236}">
              <a16:creationId xmlns:a16="http://schemas.microsoft.com/office/drawing/2014/main" id="{00000000-0008-0000-0300-000015000000}"/>
            </a:ext>
          </a:extLst>
        </xdr:cNvPr>
        <xdr:cNvPicPr/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755089" y="310029"/>
          <a:ext cx="1076325" cy="3619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1</xdr:col>
      <xdr:colOff>59764</xdr:colOff>
      <xdr:row>3</xdr:row>
      <xdr:rowOff>119529</xdr:rowOff>
    </xdr:from>
    <xdr:ext cx="1076325" cy="361950"/>
    <xdr:pic>
      <xdr:nvPicPr>
        <xdr:cNvPr id="22" name="Image 21" descr="intelcom_logo_grupo_new">
          <a:extLst>
            <a:ext uri="{FF2B5EF4-FFF2-40B4-BE49-F238E27FC236}">
              <a16:creationId xmlns:a16="http://schemas.microsoft.com/office/drawing/2014/main" id="{00000000-0008-0000-0300-000016000000}"/>
            </a:ext>
          </a:extLst>
        </xdr:cNvPr>
        <xdr:cNvPicPr/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756994" y="308124"/>
          <a:ext cx="1076325" cy="3619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</xdr:wsDr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1"/>
  <dimension ref="A6:AN37"/>
  <sheetViews>
    <sheetView showGridLines="0" tabSelected="1" zoomScale="85" zoomScaleNormal="85" workbookViewId="0">
      <pane ySplit="13" topLeftCell="A14" activePane="bottomLeft" state="frozen"/>
      <selection pane="bottomLeft" activeCell="C8" sqref="C8:G12"/>
    </sheetView>
  </sheetViews>
  <sheetFormatPr baseColWidth="10" defaultRowHeight="15" x14ac:dyDescent="0.25"/>
  <cols>
    <col min="1" max="1" width="10.42578125" style="17" customWidth="1"/>
    <col min="2" max="2" width="24.42578125" style="2" customWidth="1"/>
    <col min="3" max="3" width="22.140625" style="2" customWidth="1"/>
    <col min="4" max="4" width="11.85546875" style="2" customWidth="1"/>
    <col min="5" max="5" width="30.5703125" style="2" customWidth="1"/>
    <col min="6" max="6" width="11.85546875" style="2" customWidth="1"/>
    <col min="7" max="7" width="11.140625" style="2" customWidth="1"/>
    <col min="8" max="8" width="10.140625" style="2" customWidth="1"/>
    <col min="9" max="9" width="30.5703125" style="2" customWidth="1"/>
    <col min="10" max="10" width="11.85546875" style="2" customWidth="1"/>
    <col min="11" max="11" width="10.140625" style="2" customWidth="1"/>
    <col min="12" max="16" width="10.85546875" style="2"/>
    <col min="17" max="17" width="100.5703125" style="2" customWidth="1"/>
    <col min="18" max="27" width="100.5703125" style="17" customWidth="1"/>
    <col min="28" max="40" width="10.85546875" style="17"/>
  </cols>
  <sheetData>
    <row r="6" spans="1:40" ht="15.6" customHeight="1" x14ac:dyDescent="0.25">
      <c r="B6" s="53" t="s">
        <v>2</v>
      </c>
      <c r="C6" s="55" t="s">
        <v>83</v>
      </c>
      <c r="D6" s="56"/>
      <c r="E6" s="56"/>
      <c r="F6" s="56"/>
      <c r="G6" s="57"/>
      <c r="N6" s="9"/>
      <c r="O6" s="9"/>
      <c r="P6" s="9"/>
      <c r="Q6" s="9"/>
    </row>
    <row r="7" spans="1:40" x14ac:dyDescent="0.25">
      <c r="B7" s="54"/>
      <c r="C7" s="58"/>
      <c r="D7" s="59"/>
      <c r="E7" s="59"/>
      <c r="F7" s="59"/>
      <c r="G7" s="60"/>
      <c r="M7" s="3"/>
      <c r="N7" s="3"/>
    </row>
    <row r="8" spans="1:40" ht="17.100000000000001" customHeight="1" x14ac:dyDescent="0.25">
      <c r="B8" s="50" t="s">
        <v>0</v>
      </c>
      <c r="C8" s="55" t="s">
        <v>85</v>
      </c>
      <c r="D8" s="56"/>
      <c r="E8" s="56"/>
      <c r="F8" s="56"/>
      <c r="G8" s="57"/>
      <c r="H8" s="47" t="s">
        <v>77</v>
      </c>
      <c r="I8" s="31" t="s">
        <v>74</v>
      </c>
      <c r="J8" s="48">
        <f ca="1">N28</f>
        <v>0.52500000000000002</v>
      </c>
      <c r="K8" s="48"/>
      <c r="L8" s="3"/>
      <c r="M8" s="3"/>
      <c r="N8" s="3"/>
    </row>
    <row r="9" spans="1:40" ht="15" customHeight="1" x14ac:dyDescent="0.25">
      <c r="B9" s="51"/>
      <c r="C9" s="61"/>
      <c r="D9" s="62"/>
      <c r="E9" s="62"/>
      <c r="F9" s="62"/>
      <c r="G9" s="63"/>
      <c r="H9" s="47"/>
      <c r="I9" s="31" t="s">
        <v>75</v>
      </c>
      <c r="J9" s="48">
        <f ca="1">O28</f>
        <v>0.7087500000000001</v>
      </c>
      <c r="K9" s="48"/>
      <c r="L9" s="3"/>
      <c r="M9" s="3"/>
      <c r="N9" s="3"/>
    </row>
    <row r="10" spans="1:40" ht="13.5" customHeight="1" x14ac:dyDescent="0.25">
      <c r="B10" s="51"/>
      <c r="C10" s="61"/>
      <c r="D10" s="62"/>
      <c r="E10" s="62"/>
      <c r="F10" s="62"/>
      <c r="G10" s="63"/>
      <c r="H10" s="47"/>
      <c r="I10" s="31" t="s">
        <v>76</v>
      </c>
      <c r="J10" s="46">
        <f ca="1">P28</f>
        <v>0.35000000000000014</v>
      </c>
      <c r="K10" s="46"/>
    </row>
    <row r="11" spans="1:40" x14ac:dyDescent="0.25">
      <c r="B11" s="51"/>
      <c r="C11" s="61"/>
      <c r="D11" s="62"/>
      <c r="E11" s="62"/>
      <c r="F11" s="62"/>
      <c r="G11" s="63"/>
      <c r="H11" s="50" t="s">
        <v>79</v>
      </c>
      <c r="I11" s="32" t="s">
        <v>78</v>
      </c>
      <c r="J11" s="48">
        <f ca="1">C37</f>
        <v>0.7087500000000001</v>
      </c>
      <c r="K11" s="48"/>
    </row>
    <row r="12" spans="1:40" x14ac:dyDescent="0.25">
      <c r="B12" s="52"/>
      <c r="C12" s="58"/>
      <c r="D12" s="59"/>
      <c r="E12" s="59"/>
      <c r="F12" s="59"/>
      <c r="G12" s="60"/>
      <c r="H12" s="52"/>
      <c r="I12" s="32" t="s">
        <v>80</v>
      </c>
      <c r="J12" s="49">
        <f ca="1">IFERROR((J11+J9)/J9,0)</f>
        <v>2</v>
      </c>
      <c r="K12" s="49"/>
    </row>
    <row r="13" spans="1:40" s="17" customFormat="1" x14ac:dyDescent="0.25">
      <c r="B13" s="42"/>
      <c r="C13" s="43"/>
      <c r="D13" s="43"/>
      <c r="E13" s="43"/>
      <c r="F13" s="43"/>
      <c r="G13" s="43"/>
      <c r="H13" s="42"/>
      <c r="I13" s="41"/>
      <c r="J13" s="41"/>
      <c r="K13" s="41"/>
      <c r="L13" s="41"/>
      <c r="M13" s="41"/>
      <c r="N13" s="41"/>
      <c r="O13" s="41"/>
      <c r="P13" s="41"/>
      <c r="Q13" s="41"/>
    </row>
    <row r="14" spans="1:40" s="40" customFormat="1" x14ac:dyDescent="0.25">
      <c r="A14" s="17"/>
      <c r="B14" s="37"/>
      <c r="C14" s="38"/>
      <c r="D14" s="38"/>
      <c r="E14" s="38"/>
      <c r="F14" s="38"/>
      <c r="G14" s="38"/>
      <c r="H14" s="34"/>
      <c r="I14" s="35"/>
      <c r="J14" s="36"/>
      <c r="K14" s="36"/>
      <c r="L14" s="39"/>
      <c r="M14" s="39"/>
      <c r="N14" s="39"/>
      <c r="O14" s="39"/>
      <c r="P14" s="39"/>
      <c r="Q14" s="39"/>
      <c r="R14" s="17"/>
      <c r="S14" s="17"/>
      <c r="T14" s="17"/>
      <c r="U14" s="17"/>
      <c r="V14" s="17"/>
      <c r="W14" s="17"/>
      <c r="X14" s="17"/>
      <c r="Y14" s="17"/>
      <c r="Z14" s="17"/>
      <c r="AA14" s="17"/>
      <c r="AB14" s="17"/>
      <c r="AC14" s="17"/>
      <c r="AD14" s="17"/>
      <c r="AE14" s="17"/>
      <c r="AF14" s="17"/>
      <c r="AG14" s="17"/>
      <c r="AH14" s="17"/>
      <c r="AI14" s="17"/>
      <c r="AJ14" s="17"/>
      <c r="AK14" s="17"/>
      <c r="AL14" s="17"/>
      <c r="AM14" s="17"/>
      <c r="AN14" s="17"/>
    </row>
    <row r="15" spans="1:40" s="40" customFormat="1" x14ac:dyDescent="0.25">
      <c r="A15" s="17"/>
      <c r="B15" s="37"/>
      <c r="C15" s="38"/>
      <c r="D15" s="38"/>
      <c r="E15" s="38"/>
      <c r="F15" s="38"/>
      <c r="G15" s="38"/>
      <c r="H15" s="34"/>
      <c r="I15" s="35"/>
      <c r="J15" s="36"/>
      <c r="K15" s="36"/>
      <c r="L15" s="39"/>
      <c r="M15" s="39"/>
      <c r="N15" s="39"/>
      <c r="O15" s="39"/>
      <c r="P15" s="39"/>
      <c r="Q15" s="39"/>
      <c r="R15" s="17"/>
      <c r="S15" s="17"/>
      <c r="T15" s="17"/>
      <c r="U15" s="17"/>
      <c r="V15" s="17"/>
      <c r="W15" s="17"/>
      <c r="X15" s="17"/>
      <c r="Y15" s="17"/>
      <c r="Z15" s="17"/>
      <c r="AA15" s="17"/>
      <c r="AB15" s="17"/>
      <c r="AC15" s="17"/>
      <c r="AD15" s="17"/>
      <c r="AE15" s="17"/>
      <c r="AF15" s="17"/>
      <c r="AG15" s="17"/>
      <c r="AH15" s="17"/>
      <c r="AI15" s="17"/>
      <c r="AJ15" s="17"/>
      <c r="AK15" s="17"/>
      <c r="AL15" s="17"/>
      <c r="AM15" s="17"/>
      <c r="AN15" s="17"/>
    </row>
    <row r="16" spans="1:40" x14ac:dyDescent="0.25">
      <c r="B16" s="4"/>
      <c r="C16" s="5"/>
      <c r="D16" s="5"/>
      <c r="E16" s="5"/>
      <c r="G16" s="33"/>
      <c r="H16" s="34"/>
      <c r="I16" s="35"/>
      <c r="J16" s="36"/>
      <c r="K16" s="36"/>
    </row>
    <row r="17" spans="1:40" x14ac:dyDescent="0.25">
      <c r="B17" s="28" t="s">
        <v>1</v>
      </c>
    </row>
    <row r="18" spans="1:40" ht="36.6" customHeight="1" x14ac:dyDescent="0.25">
      <c r="B18" s="18" t="s">
        <v>3</v>
      </c>
      <c r="C18" s="11" t="s">
        <v>4</v>
      </c>
      <c r="D18" s="11" t="s">
        <v>5</v>
      </c>
      <c r="E18" s="11" t="s">
        <v>6</v>
      </c>
      <c r="F18" s="11" t="s">
        <v>7</v>
      </c>
      <c r="G18" s="11" t="s">
        <v>8</v>
      </c>
      <c r="H18" s="11" t="s">
        <v>9</v>
      </c>
      <c r="I18" s="11" t="s">
        <v>10</v>
      </c>
      <c r="J18" s="11" t="s">
        <v>13</v>
      </c>
      <c r="K18" s="11" t="s">
        <v>14</v>
      </c>
      <c r="L18" s="11" t="s">
        <v>15</v>
      </c>
      <c r="M18" s="11" t="s">
        <v>16</v>
      </c>
      <c r="N18" s="11" t="s">
        <v>17</v>
      </c>
      <c r="O18" s="11" t="s">
        <v>11</v>
      </c>
      <c r="P18" s="11" t="s">
        <v>63</v>
      </c>
      <c r="Q18" s="18" t="s">
        <v>12</v>
      </c>
    </row>
    <row r="19" spans="1:40" s="7" customFormat="1" x14ac:dyDescent="0.25">
      <c r="A19" s="17"/>
      <c r="B19" s="6"/>
      <c r="C19" s="45"/>
      <c r="D19" s="8"/>
      <c r="E19" s="6" t="s">
        <v>21</v>
      </c>
      <c r="F19" s="6" t="s">
        <v>81</v>
      </c>
      <c r="G19" s="19" t="s">
        <v>82</v>
      </c>
      <c r="H19" s="6">
        <v>1</v>
      </c>
      <c r="I19" s="6"/>
      <c r="J19" s="6">
        <f t="shared" ref="J19:J26" si="0">IF(OR(F19="",G19="",H19=""),0,VLOOKUP(E19,TableauAbaques,MATCH(G19&amp;" - "&amp;F19,ImpactComplexite,0)+1,FALSE)*H19)</f>
        <v>1.5</v>
      </c>
      <c r="K19" s="6">
        <f t="shared" ref="K19:K26" si="1">J19*(1-D19)</f>
        <v>1.5</v>
      </c>
      <c r="L19" s="6">
        <v>0.1</v>
      </c>
      <c r="M19" s="6">
        <v>0.25</v>
      </c>
      <c r="N19" s="6">
        <f t="shared" ref="N19:N27" si="2">(K19+L19+2*M19)/4</f>
        <v>0.52500000000000002</v>
      </c>
      <c r="O19" s="6">
        <f>N19*1.35</f>
        <v>0.7087500000000001</v>
      </c>
      <c r="P19" s="20">
        <f t="shared" ref="P19:P27" si="3">IFERROR((O19-N19)/N19,0)</f>
        <v>0.35000000000000014</v>
      </c>
      <c r="Q19" s="6"/>
      <c r="R19" s="17"/>
      <c r="S19" s="17"/>
      <c r="T19" s="17"/>
      <c r="U19" s="17"/>
      <c r="V19" s="17"/>
      <c r="W19" s="17"/>
      <c r="X19" s="17"/>
      <c r="Y19" s="17"/>
      <c r="Z19" s="17"/>
      <c r="AA19" s="17"/>
      <c r="AB19" s="17"/>
      <c r="AC19" s="17"/>
      <c r="AD19" s="17"/>
      <c r="AE19" s="17"/>
      <c r="AF19" s="17"/>
      <c r="AG19" s="17"/>
      <c r="AH19" s="17"/>
      <c r="AI19" s="17"/>
      <c r="AJ19" s="17"/>
      <c r="AK19" s="17"/>
      <c r="AL19" s="17"/>
      <c r="AM19" s="17"/>
      <c r="AN19" s="17"/>
    </row>
    <row r="20" spans="1:40" s="7" customFormat="1" x14ac:dyDescent="0.25">
      <c r="A20" s="17"/>
      <c r="B20" s="6"/>
      <c r="C20" s="45"/>
      <c r="D20" s="8"/>
      <c r="E20" s="6"/>
      <c r="F20" s="6"/>
      <c r="G20" s="19"/>
      <c r="H20" s="6"/>
      <c r="I20" s="6"/>
      <c r="J20" s="6">
        <f t="shared" si="0"/>
        <v>0</v>
      </c>
      <c r="K20" s="6">
        <f t="shared" si="1"/>
        <v>0</v>
      </c>
      <c r="L20" s="6"/>
      <c r="M20" s="6"/>
      <c r="N20" s="6">
        <f t="shared" si="2"/>
        <v>0</v>
      </c>
      <c r="O20" s="6">
        <f t="shared" ref="O20:O27" si="4">N20*1.35</f>
        <v>0</v>
      </c>
      <c r="P20" s="20">
        <f t="shared" si="3"/>
        <v>0</v>
      </c>
      <c r="Q20" s="6"/>
      <c r="R20" s="17"/>
      <c r="S20" s="17"/>
      <c r="T20" s="17"/>
      <c r="U20" s="17"/>
      <c r="V20" s="17"/>
      <c r="W20" s="17"/>
      <c r="X20" s="17"/>
      <c r="Y20" s="17"/>
      <c r="Z20" s="17"/>
      <c r="AA20" s="17"/>
      <c r="AB20" s="17"/>
      <c r="AC20" s="17"/>
      <c r="AD20" s="17"/>
      <c r="AE20" s="17"/>
      <c r="AF20" s="17"/>
      <c r="AG20" s="17"/>
      <c r="AH20" s="17"/>
      <c r="AI20" s="17"/>
      <c r="AJ20" s="17"/>
      <c r="AK20" s="17"/>
      <c r="AL20" s="17"/>
      <c r="AM20" s="17"/>
      <c r="AN20" s="17"/>
    </row>
    <row r="21" spans="1:40" s="7" customFormat="1" x14ac:dyDescent="0.25">
      <c r="A21" s="17"/>
      <c r="B21" s="6"/>
      <c r="C21" s="45"/>
      <c r="D21" s="8"/>
      <c r="E21" s="6"/>
      <c r="F21" s="6"/>
      <c r="G21" s="19"/>
      <c r="H21" s="6"/>
      <c r="I21" s="6"/>
      <c r="J21" s="6">
        <f t="shared" si="0"/>
        <v>0</v>
      </c>
      <c r="K21" s="6">
        <f t="shared" si="1"/>
        <v>0</v>
      </c>
      <c r="L21" s="6"/>
      <c r="M21" s="6"/>
      <c r="N21" s="6">
        <f t="shared" si="2"/>
        <v>0</v>
      </c>
      <c r="O21" s="6">
        <f t="shared" si="4"/>
        <v>0</v>
      </c>
      <c r="P21" s="20">
        <f t="shared" si="3"/>
        <v>0</v>
      </c>
      <c r="Q21" s="6"/>
      <c r="R21" s="17"/>
      <c r="S21" s="17"/>
      <c r="T21" s="17"/>
      <c r="U21" s="17"/>
      <c r="V21" s="17"/>
      <c r="W21" s="17"/>
      <c r="X21" s="17"/>
      <c r="Y21" s="17"/>
      <c r="Z21" s="17"/>
      <c r="AA21" s="17"/>
      <c r="AB21" s="17"/>
      <c r="AC21" s="17"/>
      <c r="AD21" s="17"/>
      <c r="AE21" s="17"/>
      <c r="AF21" s="17"/>
      <c r="AG21" s="17"/>
      <c r="AH21" s="17"/>
      <c r="AI21" s="17"/>
      <c r="AJ21" s="17"/>
      <c r="AK21" s="17"/>
      <c r="AL21" s="17"/>
      <c r="AM21" s="17"/>
      <c r="AN21" s="17"/>
    </row>
    <row r="22" spans="1:40" s="7" customFormat="1" x14ac:dyDescent="0.25">
      <c r="A22" s="17"/>
      <c r="B22" s="6"/>
      <c r="C22" s="45"/>
      <c r="D22" s="8"/>
      <c r="E22" s="6"/>
      <c r="F22" s="6"/>
      <c r="G22" s="19"/>
      <c r="H22" s="6"/>
      <c r="I22" s="6"/>
      <c r="J22" s="6">
        <f t="shared" ref="J22:J23" si="5">IF(OR(F22="",G22="",H22=""),0,VLOOKUP(E22,TableauAbaques,MATCH(G22&amp;" - "&amp;F22,ImpactComplexite,0)+1,FALSE)*H22)</f>
        <v>0</v>
      </c>
      <c r="K22" s="6">
        <f t="shared" ref="K22:K23" si="6">J22*(1-D22)</f>
        <v>0</v>
      </c>
      <c r="L22" s="6"/>
      <c r="M22" s="6"/>
      <c r="N22" s="6">
        <f t="shared" si="2"/>
        <v>0</v>
      </c>
      <c r="O22" s="6">
        <f t="shared" si="4"/>
        <v>0</v>
      </c>
      <c r="P22" s="20">
        <f t="shared" si="3"/>
        <v>0</v>
      </c>
      <c r="Q22" s="6"/>
      <c r="R22" s="17"/>
      <c r="S22" s="17"/>
      <c r="T22" s="17"/>
      <c r="U22" s="17"/>
      <c r="V22" s="17"/>
      <c r="W22" s="17"/>
      <c r="X22" s="17"/>
      <c r="Y22" s="17"/>
      <c r="Z22" s="17"/>
      <c r="AA22" s="17"/>
      <c r="AB22" s="17"/>
      <c r="AC22" s="17"/>
      <c r="AD22" s="17"/>
      <c r="AE22" s="17"/>
      <c r="AF22" s="17"/>
      <c r="AG22" s="17"/>
      <c r="AH22" s="17"/>
      <c r="AI22" s="17"/>
      <c r="AJ22" s="17"/>
      <c r="AK22" s="17"/>
      <c r="AL22" s="17"/>
      <c r="AM22" s="17"/>
      <c r="AN22" s="17"/>
    </row>
    <row r="23" spans="1:40" s="7" customFormat="1" x14ac:dyDescent="0.25">
      <c r="A23" s="17"/>
      <c r="B23" s="6"/>
      <c r="C23" s="45"/>
      <c r="D23" s="8"/>
      <c r="E23" s="6"/>
      <c r="F23" s="6"/>
      <c r="G23" s="19"/>
      <c r="H23" s="6"/>
      <c r="I23" s="6"/>
      <c r="J23" s="6">
        <f t="shared" si="5"/>
        <v>0</v>
      </c>
      <c r="K23" s="6">
        <f t="shared" si="6"/>
        <v>0</v>
      </c>
      <c r="L23" s="6"/>
      <c r="M23" s="6"/>
      <c r="N23" s="6">
        <f t="shared" si="2"/>
        <v>0</v>
      </c>
      <c r="O23" s="6">
        <f t="shared" si="4"/>
        <v>0</v>
      </c>
      <c r="P23" s="20">
        <f t="shared" si="3"/>
        <v>0</v>
      </c>
      <c r="Q23" s="6"/>
      <c r="R23" s="17"/>
      <c r="S23" s="17"/>
      <c r="T23" s="17"/>
      <c r="U23" s="17"/>
      <c r="V23" s="17"/>
      <c r="W23" s="17"/>
      <c r="X23" s="17"/>
      <c r="Y23" s="17"/>
      <c r="Z23" s="17"/>
      <c r="AA23" s="17"/>
      <c r="AB23" s="17"/>
      <c r="AC23" s="17"/>
      <c r="AD23" s="17"/>
      <c r="AE23" s="17"/>
      <c r="AF23" s="17"/>
      <c r="AG23" s="17"/>
      <c r="AH23" s="17"/>
      <c r="AI23" s="17"/>
      <c r="AJ23" s="17"/>
      <c r="AK23" s="17"/>
      <c r="AL23" s="17"/>
      <c r="AM23" s="17"/>
      <c r="AN23" s="17"/>
    </row>
    <row r="24" spans="1:40" s="7" customFormat="1" x14ac:dyDescent="0.25">
      <c r="A24" s="17"/>
      <c r="B24" s="6"/>
      <c r="C24" s="45"/>
      <c r="D24" s="8"/>
      <c r="E24" s="6"/>
      <c r="F24" s="6"/>
      <c r="G24" s="19"/>
      <c r="H24" s="6"/>
      <c r="I24" s="6"/>
      <c r="J24" s="6">
        <f t="shared" ref="J24:J25" si="7">IF(OR(F24="",G24="",H24=""),0,VLOOKUP(E24,TableauAbaques,MATCH(G24&amp;" - "&amp;F24,ImpactComplexite,0)+1,FALSE)*H24)</f>
        <v>0</v>
      </c>
      <c r="K24" s="6">
        <f t="shared" ref="K24:K25" si="8">J24*(1-D24)</f>
        <v>0</v>
      </c>
      <c r="L24" s="6"/>
      <c r="M24" s="6"/>
      <c r="N24" s="6">
        <f t="shared" si="2"/>
        <v>0</v>
      </c>
      <c r="O24" s="6">
        <f t="shared" si="4"/>
        <v>0</v>
      </c>
      <c r="P24" s="20">
        <f t="shared" si="3"/>
        <v>0</v>
      </c>
      <c r="Q24" s="6"/>
      <c r="R24" s="17"/>
      <c r="S24" s="17"/>
      <c r="T24" s="17"/>
      <c r="U24" s="17"/>
      <c r="V24" s="17"/>
      <c r="W24" s="17"/>
      <c r="X24" s="17"/>
      <c r="Y24" s="17"/>
      <c r="Z24" s="17"/>
      <c r="AA24" s="17"/>
      <c r="AB24" s="17"/>
      <c r="AC24" s="17"/>
      <c r="AD24" s="17"/>
      <c r="AE24" s="17"/>
      <c r="AF24" s="17"/>
      <c r="AG24" s="17"/>
      <c r="AH24" s="17"/>
      <c r="AI24" s="17"/>
      <c r="AJ24" s="17"/>
      <c r="AK24" s="17"/>
      <c r="AL24" s="17"/>
      <c r="AM24" s="17"/>
      <c r="AN24" s="17"/>
    </row>
    <row r="25" spans="1:40" s="7" customFormat="1" x14ac:dyDescent="0.25">
      <c r="A25" s="17"/>
      <c r="B25" s="6"/>
      <c r="C25" s="45"/>
      <c r="D25" s="8"/>
      <c r="E25" s="6"/>
      <c r="F25" s="6"/>
      <c r="G25" s="19"/>
      <c r="H25" s="6"/>
      <c r="I25" s="6"/>
      <c r="J25" s="6">
        <f t="shared" si="7"/>
        <v>0</v>
      </c>
      <c r="K25" s="6">
        <f t="shared" si="8"/>
        <v>0</v>
      </c>
      <c r="L25" s="6"/>
      <c r="M25" s="6"/>
      <c r="N25" s="6">
        <f t="shared" si="2"/>
        <v>0</v>
      </c>
      <c r="O25" s="6">
        <f t="shared" si="4"/>
        <v>0</v>
      </c>
      <c r="P25" s="20">
        <f t="shared" si="3"/>
        <v>0</v>
      </c>
      <c r="Q25" s="6"/>
      <c r="R25" s="17"/>
      <c r="S25" s="17"/>
      <c r="T25" s="17"/>
      <c r="U25" s="17"/>
      <c r="V25" s="17"/>
      <c r="W25" s="17"/>
      <c r="X25" s="17"/>
      <c r="Y25" s="17"/>
      <c r="Z25" s="17"/>
      <c r="AA25" s="17"/>
      <c r="AB25" s="17"/>
      <c r="AC25" s="17"/>
      <c r="AD25" s="17"/>
      <c r="AE25" s="17"/>
      <c r="AF25" s="17"/>
      <c r="AG25" s="17"/>
      <c r="AH25" s="17"/>
      <c r="AI25" s="17"/>
      <c r="AJ25" s="17"/>
      <c r="AK25" s="17"/>
      <c r="AL25" s="17"/>
      <c r="AM25" s="17"/>
      <c r="AN25" s="17"/>
    </row>
    <row r="26" spans="1:40" s="7" customFormat="1" x14ac:dyDescent="0.25">
      <c r="A26" s="17"/>
      <c r="B26" s="6"/>
      <c r="C26" s="45"/>
      <c r="D26" s="8"/>
      <c r="E26" s="6"/>
      <c r="F26" s="6"/>
      <c r="G26" s="19"/>
      <c r="H26" s="6"/>
      <c r="I26" s="6"/>
      <c r="J26" s="6">
        <f t="shared" si="0"/>
        <v>0</v>
      </c>
      <c r="K26" s="6">
        <f t="shared" si="1"/>
        <v>0</v>
      </c>
      <c r="L26" s="6"/>
      <c r="M26" s="6"/>
      <c r="N26" s="6">
        <f t="shared" si="2"/>
        <v>0</v>
      </c>
      <c r="O26" s="6">
        <f t="shared" si="4"/>
        <v>0</v>
      </c>
      <c r="P26" s="20">
        <f t="shared" si="3"/>
        <v>0</v>
      </c>
      <c r="Q26" s="6"/>
      <c r="R26" s="17"/>
      <c r="S26" s="17"/>
      <c r="T26" s="17"/>
      <c r="U26" s="17"/>
      <c r="V26" s="17"/>
      <c r="W26" s="17"/>
      <c r="X26" s="17"/>
      <c r="Y26" s="17"/>
      <c r="Z26" s="17"/>
      <c r="AA26" s="17"/>
      <c r="AB26" s="17"/>
      <c r="AC26" s="17"/>
      <c r="AD26" s="17"/>
      <c r="AE26" s="17"/>
      <c r="AF26" s="17"/>
      <c r="AG26" s="17"/>
      <c r="AH26" s="17"/>
      <c r="AI26" s="17"/>
      <c r="AJ26" s="17"/>
      <c r="AK26" s="17"/>
      <c r="AL26" s="17"/>
      <c r="AM26" s="17"/>
      <c r="AN26" s="17"/>
    </row>
    <row r="27" spans="1:40" s="7" customFormat="1" x14ac:dyDescent="0.25">
      <c r="A27" s="17"/>
      <c r="B27" s="6"/>
      <c r="C27" s="45"/>
      <c r="D27" s="8"/>
      <c r="E27" s="6"/>
      <c r="F27" s="6"/>
      <c r="G27" s="19"/>
      <c r="H27" s="6"/>
      <c r="I27" s="6"/>
      <c r="J27" s="6">
        <f t="shared" ref="J27" si="9">IF(OR(F27="",G27="",H27=""),0,VLOOKUP(E27,TableauAbaques,MATCH(G27&amp;" - "&amp;F27,ImpactComplexite,0)+1,FALSE)*H27)</f>
        <v>0</v>
      </c>
      <c r="K27" s="6">
        <f t="shared" ref="K27" si="10">J27*(1-D27)</f>
        <v>0</v>
      </c>
      <c r="L27" s="6"/>
      <c r="M27" s="6"/>
      <c r="N27" s="6">
        <f t="shared" si="2"/>
        <v>0</v>
      </c>
      <c r="O27" s="6">
        <f t="shared" si="4"/>
        <v>0</v>
      </c>
      <c r="P27" s="20">
        <f t="shared" si="3"/>
        <v>0</v>
      </c>
      <c r="Q27" s="6"/>
      <c r="R27" s="17"/>
      <c r="S27" s="17"/>
      <c r="T27" s="17"/>
      <c r="U27" s="17"/>
      <c r="V27" s="17"/>
      <c r="W27" s="17"/>
      <c r="X27" s="17"/>
      <c r="Y27" s="17"/>
      <c r="Z27" s="17"/>
      <c r="AA27" s="17"/>
      <c r="AB27" s="17"/>
      <c r="AC27" s="17"/>
      <c r="AD27" s="17"/>
      <c r="AE27" s="17"/>
      <c r="AF27" s="17"/>
      <c r="AG27" s="17"/>
      <c r="AH27" s="17"/>
      <c r="AI27" s="17"/>
      <c r="AJ27" s="17"/>
      <c r="AK27" s="17"/>
      <c r="AL27" s="17"/>
      <c r="AM27" s="17"/>
      <c r="AN27" s="17"/>
    </row>
    <row r="28" spans="1:40" x14ac:dyDescent="0.25">
      <c r="E28" s="44"/>
      <c r="J28" s="21">
        <f ca="1">SUM(J19:OFFSET(J28,-1,0))</f>
        <v>1.5</v>
      </c>
      <c r="K28" s="21">
        <f ca="1">SUM(K19:OFFSET(K28,-1,0))</f>
        <v>1.5</v>
      </c>
      <c r="L28" s="21">
        <f ca="1">SUM(L19:OFFSET(L28,-1,0))</f>
        <v>0.1</v>
      </c>
      <c r="M28" s="21">
        <f ca="1">SUM(M19:OFFSET(M28,-1,0))</f>
        <v>0.25</v>
      </c>
      <c r="N28" s="21">
        <f ca="1">SUM(N19:OFFSET(N28,-1,0))</f>
        <v>0.52500000000000002</v>
      </c>
      <c r="O28" s="21">
        <f ca="1">SUM(O19:OFFSET(O28,-1,0))</f>
        <v>0.7087500000000001</v>
      </c>
      <c r="P28" s="21">
        <f t="shared" ref="P28" ca="1" si="11">IFERROR((O28-N28)/N28,0)</f>
        <v>0.35000000000000014</v>
      </c>
    </row>
    <row r="29" spans="1:40" x14ac:dyDescent="0.25">
      <c r="J29" s="22"/>
      <c r="K29" s="22"/>
      <c r="L29" s="22"/>
      <c r="M29" s="22"/>
      <c r="N29" s="22"/>
      <c r="O29" s="22"/>
      <c r="P29" s="22"/>
    </row>
    <row r="30" spans="1:40" x14ac:dyDescent="0.25">
      <c r="B30" s="28" t="s">
        <v>66</v>
      </c>
    </row>
    <row r="31" spans="1:40" x14ac:dyDescent="0.25">
      <c r="B31" s="18" t="s">
        <v>66</v>
      </c>
      <c r="C31" s="18" t="s">
        <v>72</v>
      </c>
      <c r="D31" s="18" t="s">
        <v>73</v>
      </c>
    </row>
    <row r="32" spans="1:40" x14ac:dyDescent="0.25">
      <c r="B32" s="29" t="s">
        <v>67</v>
      </c>
      <c r="C32" s="29">
        <f ca="1">O$28*D32*2</f>
        <v>0.21262500000000004</v>
      </c>
      <c r="D32" s="30">
        <v>0.15</v>
      </c>
    </row>
    <row r="33" spans="2:4" x14ac:dyDescent="0.25">
      <c r="B33" s="29" t="s">
        <v>68</v>
      </c>
      <c r="C33" s="29">
        <f t="shared" ref="C33:C36" ca="1" si="12">O$28*D33*2</f>
        <v>0.14175000000000001</v>
      </c>
      <c r="D33" s="30">
        <v>0.1</v>
      </c>
    </row>
    <row r="34" spans="2:4" x14ac:dyDescent="0.25">
      <c r="B34" s="29" t="s">
        <v>69</v>
      </c>
      <c r="C34" s="29">
        <f t="shared" ca="1" si="12"/>
        <v>0.14175000000000001</v>
      </c>
      <c r="D34" s="30">
        <v>0.1</v>
      </c>
    </row>
    <row r="35" spans="2:4" x14ac:dyDescent="0.25">
      <c r="B35" s="29" t="s">
        <v>70</v>
      </c>
      <c r="C35" s="29">
        <f t="shared" ca="1" si="12"/>
        <v>7.0875000000000007E-2</v>
      </c>
      <c r="D35" s="30">
        <v>0.05</v>
      </c>
    </row>
    <row r="36" spans="2:4" x14ac:dyDescent="0.25">
      <c r="B36" s="29" t="s">
        <v>71</v>
      </c>
      <c r="C36" s="29">
        <f t="shared" ca="1" si="12"/>
        <v>0.14175000000000001</v>
      </c>
      <c r="D36" s="30">
        <v>0.1</v>
      </c>
    </row>
    <row r="37" spans="2:4" x14ac:dyDescent="0.25">
      <c r="C37" s="21">
        <f ca="1">SUM(C32:C36)</f>
        <v>0.7087500000000001</v>
      </c>
    </row>
  </sheetData>
  <mergeCells count="11">
    <mergeCell ref="B8:B12"/>
    <mergeCell ref="B6:B7"/>
    <mergeCell ref="C6:G7"/>
    <mergeCell ref="C8:G12"/>
    <mergeCell ref="H11:H12"/>
    <mergeCell ref="J10:K10"/>
    <mergeCell ref="H8:H10"/>
    <mergeCell ref="J11:K11"/>
    <mergeCell ref="J12:K12"/>
    <mergeCell ref="J9:K9"/>
    <mergeCell ref="J8:K8"/>
  </mergeCells>
  <conditionalFormatting sqref="P29">
    <cfRule type="cellIs" dxfId="0" priority="1" operator="between">
      <formula>-1000</formula>
      <formula>0.1</formula>
    </cfRule>
  </conditionalFormatting>
  <dataValidations count="4">
    <dataValidation type="list" allowBlank="1" showInputMessage="1" showErrorMessage="1" sqref="F19:F27" xr:uid="{00000000-0002-0000-0000-000000000000}">
      <formula1>"Création,Modification"</formula1>
    </dataValidation>
    <dataValidation type="list" allowBlank="1" showInputMessage="1" showErrorMessage="1" sqref="G19:G27" xr:uid="{00000000-0002-0000-0000-000001000000}">
      <formula1>"S,M,C"</formula1>
    </dataValidation>
    <dataValidation type="whole" allowBlank="1" showInputMessage="1" showErrorMessage="1" sqref="H19:H27" xr:uid="{00000000-0002-0000-0000-000002000000}">
      <formula1>0</formula1>
      <formula2>50</formula2>
    </dataValidation>
    <dataValidation type="list" allowBlank="1" showInputMessage="1" showErrorMessage="1" sqref="E19:E28" xr:uid="{00000000-0002-0000-0000-000003000000}">
      <formula1>Typologie</formula1>
    </dataValidation>
  </dataValidations>
  <pageMargins left="0.7" right="0.7" top="0.75" bottom="0.75" header="0.3" footer="0.3"/>
  <pageSetup paperSize="9" orientation="portrait" horizontalDpi="4294967295" verticalDpi="4294967295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AjouterLigne_Cliquer">
                <anchor moveWithCells="1" sizeWithCells="1">
                  <from>
                    <xdr:col>2</xdr:col>
                    <xdr:colOff>66675</xdr:colOff>
                    <xdr:row>1</xdr:row>
                    <xdr:rowOff>142875</xdr:rowOff>
                  </from>
                  <to>
                    <xdr:col>2</xdr:col>
                    <xdr:colOff>1276350</xdr:colOff>
                    <xdr:row>3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GenererChiffrageMT">
                <anchor moveWithCells="1" sizeWithCells="1">
                  <from>
                    <xdr:col>2</xdr:col>
                    <xdr:colOff>1419225</xdr:colOff>
                    <xdr:row>1</xdr:row>
                    <xdr:rowOff>142875</xdr:rowOff>
                  </from>
                  <to>
                    <xdr:col>4</xdr:col>
                    <xdr:colOff>685800</xdr:colOff>
                    <xdr:row>3</xdr:row>
                    <xdr:rowOff>123825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euil2"/>
  <dimension ref="B6:I32"/>
  <sheetViews>
    <sheetView showGridLines="0" zoomScale="85" zoomScaleNormal="85" workbookViewId="0">
      <selection activeCell="F14" sqref="F14"/>
    </sheetView>
  </sheetViews>
  <sheetFormatPr baseColWidth="10" defaultRowHeight="15" x14ac:dyDescent="0.25"/>
  <cols>
    <col min="2" max="2" width="48.5703125" customWidth="1"/>
    <col min="3" max="3" width="15.5703125" customWidth="1"/>
    <col min="4" max="4" width="18.5703125" customWidth="1"/>
    <col min="5" max="5" width="18" customWidth="1"/>
    <col min="6" max="6" width="19" bestFit="1" customWidth="1"/>
    <col min="7" max="7" width="21.5703125" bestFit="1" customWidth="1"/>
    <col min="8" max="8" width="21.85546875" bestFit="1" customWidth="1"/>
  </cols>
  <sheetData>
    <row r="6" spans="2:8" x14ac:dyDescent="0.25">
      <c r="B6" s="13" t="s">
        <v>18</v>
      </c>
      <c r="C6" s="15" t="s">
        <v>57</v>
      </c>
      <c r="D6" s="15" t="s">
        <v>58</v>
      </c>
      <c r="E6" s="15" t="s">
        <v>59</v>
      </c>
      <c r="F6" s="16" t="s">
        <v>60</v>
      </c>
      <c r="G6" s="16" t="s">
        <v>61</v>
      </c>
      <c r="H6" s="16" t="s">
        <v>62</v>
      </c>
    </row>
    <row r="7" spans="2:8" x14ac:dyDescent="0.25">
      <c r="B7" s="12" t="s">
        <v>19</v>
      </c>
      <c r="C7" s="14">
        <v>1</v>
      </c>
      <c r="D7" s="14">
        <v>1.5</v>
      </c>
      <c r="E7" s="14">
        <v>2</v>
      </c>
      <c r="F7" s="14">
        <v>0.5</v>
      </c>
      <c r="G7" s="14">
        <v>1</v>
      </c>
      <c r="H7" s="14">
        <v>2.5</v>
      </c>
    </row>
    <row r="8" spans="2:8" x14ac:dyDescent="0.25">
      <c r="B8" s="12" t="s">
        <v>20</v>
      </c>
      <c r="C8" s="14">
        <v>1</v>
      </c>
      <c r="D8" s="14">
        <v>2.5</v>
      </c>
      <c r="E8" s="14">
        <v>4.5</v>
      </c>
      <c r="F8" s="14">
        <v>0.5</v>
      </c>
      <c r="G8" s="14">
        <v>2</v>
      </c>
      <c r="H8" s="14">
        <v>3</v>
      </c>
    </row>
    <row r="9" spans="2:8" x14ac:dyDescent="0.25">
      <c r="B9" s="12" t="s">
        <v>55</v>
      </c>
      <c r="C9" s="14">
        <v>1</v>
      </c>
      <c r="D9" s="14">
        <v>1.5</v>
      </c>
      <c r="E9" s="14">
        <v>2</v>
      </c>
      <c r="F9" s="14">
        <v>0.5</v>
      </c>
      <c r="G9" s="14">
        <v>1</v>
      </c>
      <c r="H9" s="14">
        <v>2.5</v>
      </c>
    </row>
    <row r="10" spans="2:8" x14ac:dyDescent="0.25">
      <c r="B10" s="12" t="s">
        <v>56</v>
      </c>
      <c r="C10" s="14">
        <v>1</v>
      </c>
      <c r="D10" s="14">
        <v>2.5</v>
      </c>
      <c r="E10" s="14">
        <v>4.5</v>
      </c>
      <c r="F10" s="14">
        <v>0.5</v>
      </c>
      <c r="G10" s="14">
        <v>2</v>
      </c>
      <c r="H10" s="14">
        <v>3</v>
      </c>
    </row>
    <row r="11" spans="2:8" x14ac:dyDescent="0.25">
      <c r="B11" s="12" t="s">
        <v>21</v>
      </c>
      <c r="C11" s="14">
        <v>1.5</v>
      </c>
      <c r="D11" s="14">
        <v>2.5</v>
      </c>
      <c r="E11" s="14">
        <v>3.5</v>
      </c>
      <c r="F11" s="14">
        <v>0.5</v>
      </c>
      <c r="G11" s="14">
        <v>1</v>
      </c>
      <c r="H11" s="14">
        <v>2</v>
      </c>
    </row>
    <row r="12" spans="2:8" x14ac:dyDescent="0.25">
      <c r="B12" s="12" t="s">
        <v>22</v>
      </c>
      <c r="C12" s="14">
        <v>1.5</v>
      </c>
      <c r="D12" s="14">
        <v>2.5</v>
      </c>
      <c r="E12" s="14">
        <v>3.5</v>
      </c>
      <c r="F12" s="14">
        <v>0.5</v>
      </c>
      <c r="G12" s="14">
        <v>1</v>
      </c>
      <c r="H12" s="14">
        <v>2</v>
      </c>
    </row>
    <row r="13" spans="2:8" x14ac:dyDescent="0.25">
      <c r="B13" s="12" t="s">
        <v>23</v>
      </c>
      <c r="C13" s="14">
        <v>1.5</v>
      </c>
      <c r="D13" s="14">
        <v>2.5</v>
      </c>
      <c r="E13" s="14">
        <v>3.5</v>
      </c>
      <c r="F13" s="14">
        <v>0.5</v>
      </c>
      <c r="G13" s="14">
        <v>1</v>
      </c>
      <c r="H13" s="14">
        <v>2</v>
      </c>
    </row>
    <row r="14" spans="2:8" x14ac:dyDescent="0.25">
      <c r="B14" s="12" t="s">
        <v>24</v>
      </c>
      <c r="C14" s="14">
        <v>0.25</v>
      </c>
      <c r="D14" s="14">
        <v>0.75</v>
      </c>
      <c r="E14" s="14">
        <v>1.5</v>
      </c>
      <c r="F14" s="14">
        <v>0.25</v>
      </c>
      <c r="G14" s="14">
        <v>0.5</v>
      </c>
      <c r="H14" s="14">
        <v>1</v>
      </c>
    </row>
    <row r="15" spans="2:8" x14ac:dyDescent="0.25">
      <c r="B15" s="12" t="s">
        <v>25</v>
      </c>
      <c r="C15" s="14">
        <v>3</v>
      </c>
      <c r="D15" s="14">
        <v>5</v>
      </c>
      <c r="E15" s="14">
        <v>7</v>
      </c>
      <c r="F15" s="14">
        <v>1</v>
      </c>
      <c r="G15" s="14">
        <v>1.5</v>
      </c>
      <c r="H15" s="14">
        <v>3</v>
      </c>
    </row>
    <row r="16" spans="2:8" x14ac:dyDescent="0.25">
      <c r="B16" s="12" t="s">
        <v>26</v>
      </c>
      <c r="C16" s="14">
        <v>3</v>
      </c>
      <c r="D16" s="14">
        <v>5</v>
      </c>
      <c r="E16" s="14">
        <v>7</v>
      </c>
      <c r="F16" s="14">
        <v>1</v>
      </c>
      <c r="G16" s="14">
        <v>1.5</v>
      </c>
      <c r="H16" s="14">
        <v>3</v>
      </c>
    </row>
    <row r="17" spans="2:9" x14ac:dyDescent="0.25">
      <c r="B17" s="12" t="s">
        <v>27</v>
      </c>
      <c r="C17" s="14">
        <v>4</v>
      </c>
      <c r="D17" s="14">
        <v>5</v>
      </c>
      <c r="E17" s="14">
        <v>6</v>
      </c>
      <c r="F17" s="14">
        <v>1</v>
      </c>
      <c r="G17" s="14">
        <v>2</v>
      </c>
      <c r="H17" s="14">
        <v>3</v>
      </c>
    </row>
    <row r="18" spans="2:9" x14ac:dyDescent="0.25">
      <c r="B18" s="12" t="s">
        <v>28</v>
      </c>
      <c r="C18" s="14">
        <v>4</v>
      </c>
      <c r="D18" s="14">
        <v>5</v>
      </c>
      <c r="E18" s="14">
        <v>6</v>
      </c>
      <c r="F18" s="14">
        <v>1</v>
      </c>
      <c r="G18" s="14">
        <v>2</v>
      </c>
      <c r="H18" s="14">
        <v>3</v>
      </c>
    </row>
    <row r="21" spans="2:9" x14ac:dyDescent="0.25">
      <c r="B21" s="10"/>
      <c r="C21" s="10"/>
      <c r="D21" s="10"/>
      <c r="E21" s="10"/>
      <c r="F21" s="10"/>
      <c r="G21" s="10"/>
      <c r="H21" s="10"/>
    </row>
    <row r="22" spans="2:9" x14ac:dyDescent="0.25">
      <c r="B22" s="13" t="s">
        <v>29</v>
      </c>
      <c r="C22" s="64" t="s">
        <v>30</v>
      </c>
      <c r="D22" s="64"/>
      <c r="E22" s="64" t="s">
        <v>31</v>
      </c>
      <c r="F22" s="64"/>
      <c r="G22" s="64" t="s">
        <v>32</v>
      </c>
      <c r="H22" s="64"/>
      <c r="I22" s="1"/>
    </row>
    <row r="23" spans="2:9" x14ac:dyDescent="0.25">
      <c r="B23" s="12" t="s">
        <v>19</v>
      </c>
      <c r="C23" s="65" t="s">
        <v>33</v>
      </c>
      <c r="D23" s="65"/>
      <c r="E23" s="65" t="s">
        <v>34</v>
      </c>
      <c r="F23" s="65"/>
      <c r="G23" s="65" t="s">
        <v>35</v>
      </c>
      <c r="H23" s="65"/>
    </row>
    <row r="24" spans="2:9" x14ac:dyDescent="0.25">
      <c r="B24" s="12" t="s">
        <v>20</v>
      </c>
      <c r="C24" s="65" t="s">
        <v>36</v>
      </c>
      <c r="D24" s="65"/>
      <c r="E24" s="65" t="s">
        <v>37</v>
      </c>
      <c r="F24" s="65"/>
      <c r="G24" s="65" t="s">
        <v>38</v>
      </c>
      <c r="H24" s="65"/>
    </row>
    <row r="25" spans="2:9" x14ac:dyDescent="0.25">
      <c r="B25" s="12" t="s">
        <v>21</v>
      </c>
      <c r="C25" s="65" t="s">
        <v>39</v>
      </c>
      <c r="D25" s="65"/>
      <c r="E25" s="65" t="s">
        <v>40</v>
      </c>
      <c r="F25" s="65"/>
      <c r="G25" s="65" t="s">
        <v>41</v>
      </c>
      <c r="H25" s="65"/>
    </row>
    <row r="26" spans="2:9" x14ac:dyDescent="0.25">
      <c r="B26" s="12" t="s">
        <v>22</v>
      </c>
      <c r="C26" s="65" t="s">
        <v>39</v>
      </c>
      <c r="D26" s="65"/>
      <c r="E26" s="65" t="s">
        <v>40</v>
      </c>
      <c r="F26" s="65"/>
      <c r="G26" s="65" t="s">
        <v>41</v>
      </c>
      <c r="H26" s="65"/>
    </row>
    <row r="27" spans="2:9" x14ac:dyDescent="0.25">
      <c r="B27" s="12" t="s">
        <v>23</v>
      </c>
      <c r="C27" s="65" t="s">
        <v>39</v>
      </c>
      <c r="D27" s="65"/>
      <c r="E27" s="65" t="s">
        <v>40</v>
      </c>
      <c r="F27" s="65"/>
      <c r="G27" s="65" t="s">
        <v>41</v>
      </c>
      <c r="H27" s="65"/>
    </row>
    <row r="28" spans="2:9" x14ac:dyDescent="0.25">
      <c r="B28" s="12" t="s">
        <v>24</v>
      </c>
      <c r="C28" s="65" t="s">
        <v>42</v>
      </c>
      <c r="D28" s="65"/>
      <c r="E28" s="65" t="s">
        <v>43</v>
      </c>
      <c r="F28" s="65"/>
      <c r="G28" s="65" t="s">
        <v>44</v>
      </c>
      <c r="H28" s="65"/>
    </row>
    <row r="29" spans="2:9" x14ac:dyDescent="0.25">
      <c r="B29" s="12" t="s">
        <v>25</v>
      </c>
      <c r="C29" s="65" t="s">
        <v>45</v>
      </c>
      <c r="D29" s="65"/>
      <c r="E29" s="65" t="s">
        <v>46</v>
      </c>
      <c r="F29" s="65"/>
      <c r="G29" s="65" t="s">
        <v>47</v>
      </c>
      <c r="H29" s="65"/>
    </row>
    <row r="30" spans="2:9" x14ac:dyDescent="0.25">
      <c r="B30" s="12" t="s">
        <v>26</v>
      </c>
      <c r="C30" s="66" t="s">
        <v>48</v>
      </c>
      <c r="D30" s="67"/>
      <c r="E30" s="66" t="s">
        <v>49</v>
      </c>
      <c r="F30" s="67"/>
      <c r="G30" s="66" t="s">
        <v>50</v>
      </c>
      <c r="H30" s="67"/>
    </row>
    <row r="31" spans="2:9" x14ac:dyDescent="0.25">
      <c r="B31" s="12" t="s">
        <v>27</v>
      </c>
      <c r="C31" s="65" t="s">
        <v>51</v>
      </c>
      <c r="D31" s="65"/>
      <c r="E31" s="65" t="s">
        <v>52</v>
      </c>
      <c r="F31" s="65"/>
      <c r="G31" s="65" t="s">
        <v>53</v>
      </c>
      <c r="H31" s="65"/>
    </row>
    <row r="32" spans="2:9" x14ac:dyDescent="0.25">
      <c r="B32" s="12" t="s">
        <v>28</v>
      </c>
      <c r="C32" s="65" t="s">
        <v>48</v>
      </c>
      <c r="D32" s="65"/>
      <c r="E32" s="65" t="s">
        <v>49</v>
      </c>
      <c r="F32" s="65"/>
      <c r="G32" s="65" t="s">
        <v>54</v>
      </c>
      <c r="H32" s="65"/>
    </row>
  </sheetData>
  <mergeCells count="33">
    <mergeCell ref="C32:D32"/>
    <mergeCell ref="E32:F32"/>
    <mergeCell ref="G32:H32"/>
    <mergeCell ref="C30:D30"/>
    <mergeCell ref="E30:F30"/>
    <mergeCell ref="G30:H30"/>
    <mergeCell ref="C31:D31"/>
    <mergeCell ref="E31:F31"/>
    <mergeCell ref="G31:H31"/>
    <mergeCell ref="C28:D28"/>
    <mergeCell ref="E28:F28"/>
    <mergeCell ref="G28:H28"/>
    <mergeCell ref="C29:D29"/>
    <mergeCell ref="E29:F29"/>
    <mergeCell ref="G29:H29"/>
    <mergeCell ref="C26:D26"/>
    <mergeCell ref="E26:F26"/>
    <mergeCell ref="G26:H26"/>
    <mergeCell ref="C27:D27"/>
    <mergeCell ref="E27:F27"/>
    <mergeCell ref="G27:H27"/>
    <mergeCell ref="C24:D24"/>
    <mergeCell ref="E24:F24"/>
    <mergeCell ref="G24:H24"/>
    <mergeCell ref="C25:D25"/>
    <mergeCell ref="E25:F25"/>
    <mergeCell ref="G25:H25"/>
    <mergeCell ref="C22:D22"/>
    <mergeCell ref="E22:F22"/>
    <mergeCell ref="G22:H22"/>
    <mergeCell ref="C23:D23"/>
    <mergeCell ref="E23:F23"/>
    <mergeCell ref="G23:H23"/>
  </mergeCells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euil4"/>
  <dimension ref="B7:C31"/>
  <sheetViews>
    <sheetView showGridLines="0" zoomScale="85" zoomScaleNormal="85" workbookViewId="0">
      <selection activeCell="B9" sqref="B9"/>
    </sheetView>
  </sheetViews>
  <sheetFormatPr baseColWidth="10" defaultRowHeight="15" x14ac:dyDescent="0.25"/>
  <cols>
    <col min="2" max="2" width="139.5703125" customWidth="1"/>
    <col min="3" max="3" width="16.85546875" customWidth="1"/>
    <col min="4" max="4" width="18.5703125" customWidth="1"/>
    <col min="5" max="5" width="18" customWidth="1"/>
    <col min="6" max="6" width="19" bestFit="1" customWidth="1"/>
    <col min="7" max="7" width="21.5703125" bestFit="1" customWidth="1"/>
    <col min="8" max="8" width="21.85546875" bestFit="1" customWidth="1"/>
  </cols>
  <sheetData>
    <row r="7" spans="2:3" ht="38.25" x14ac:dyDescent="0.25">
      <c r="B7" s="11" t="s">
        <v>64</v>
      </c>
      <c r="C7" s="11" t="s">
        <v>65</v>
      </c>
    </row>
    <row r="8" spans="2:3" x14ac:dyDescent="0.25">
      <c r="B8" s="23"/>
      <c r="C8" s="24"/>
    </row>
    <row r="9" spans="2:3" x14ac:dyDescent="0.25">
      <c r="B9" s="23"/>
      <c r="C9" s="25"/>
    </row>
    <row r="10" spans="2:3" x14ac:dyDescent="0.25">
      <c r="B10" s="26"/>
      <c r="C10" s="26"/>
    </row>
    <row r="11" spans="2:3" x14ac:dyDescent="0.25">
      <c r="B11" s="23"/>
      <c r="C11" s="26"/>
    </row>
    <row r="12" spans="2:3" x14ac:dyDescent="0.25">
      <c r="B12" s="26"/>
      <c r="C12" s="26"/>
    </row>
    <row r="13" spans="2:3" x14ac:dyDescent="0.25">
      <c r="B13" s="23"/>
      <c r="C13" s="26"/>
    </row>
    <row r="14" spans="2:3" x14ac:dyDescent="0.25">
      <c r="B14" s="26"/>
      <c r="C14" s="26"/>
    </row>
    <row r="15" spans="2:3" x14ac:dyDescent="0.25">
      <c r="B15" s="27"/>
      <c r="C15" s="27"/>
    </row>
    <row r="16" spans="2:3" x14ac:dyDescent="0.25">
      <c r="B16" s="27"/>
      <c r="C16" s="27"/>
    </row>
    <row r="17" spans="2:3" x14ac:dyDescent="0.25">
      <c r="B17" s="27"/>
      <c r="C17" s="27"/>
    </row>
    <row r="18" spans="2:3" x14ac:dyDescent="0.25">
      <c r="B18" s="27"/>
      <c r="C18" s="27"/>
    </row>
    <row r="19" spans="2:3" x14ac:dyDescent="0.25">
      <c r="B19" s="27"/>
      <c r="C19" s="27"/>
    </row>
    <row r="20" spans="2:3" x14ac:dyDescent="0.25">
      <c r="B20" s="27"/>
      <c r="C20" s="27"/>
    </row>
    <row r="21" spans="2:3" x14ac:dyDescent="0.25">
      <c r="B21" s="27"/>
      <c r="C21" s="27"/>
    </row>
    <row r="22" spans="2:3" x14ac:dyDescent="0.25">
      <c r="B22" s="27"/>
      <c r="C22" s="27"/>
    </row>
    <row r="23" spans="2:3" x14ac:dyDescent="0.25">
      <c r="B23" s="27"/>
      <c r="C23" s="27"/>
    </row>
    <row r="24" spans="2:3" x14ac:dyDescent="0.25">
      <c r="B24" s="27"/>
      <c r="C24" s="27"/>
    </row>
    <row r="25" spans="2:3" x14ac:dyDescent="0.25">
      <c r="B25" s="27"/>
      <c r="C25" s="27"/>
    </row>
    <row r="26" spans="2:3" x14ac:dyDescent="0.25">
      <c r="B26" s="27"/>
      <c r="C26" s="27"/>
    </row>
    <row r="27" spans="2:3" x14ac:dyDescent="0.25">
      <c r="B27" s="27"/>
      <c r="C27" s="27"/>
    </row>
    <row r="28" spans="2:3" x14ac:dyDescent="0.25">
      <c r="B28" s="27"/>
      <c r="C28" s="27"/>
    </row>
    <row r="29" spans="2:3" x14ac:dyDescent="0.25">
      <c r="B29" s="27"/>
      <c r="C29" s="27"/>
    </row>
    <row r="30" spans="2:3" x14ac:dyDescent="0.25">
      <c r="B30" s="27"/>
      <c r="C30" s="27"/>
    </row>
    <row r="31" spans="2:3" x14ac:dyDescent="0.25">
      <c r="B31" s="27"/>
      <c r="C31" s="27"/>
    </row>
  </sheetData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Feuil12"/>
  <dimension ref="A3:K25"/>
  <sheetViews>
    <sheetView showGridLines="0" zoomScale="85" zoomScaleNormal="85" workbookViewId="0">
      <selection activeCell="F3" sqref="F3:J9"/>
    </sheetView>
  </sheetViews>
  <sheetFormatPr baseColWidth="10" defaultRowHeight="15" x14ac:dyDescent="0.25"/>
  <cols>
    <col min="2" max="3" width="25.7109375" customWidth="1"/>
    <col min="4" max="4" width="10.7109375" customWidth="1"/>
    <col min="5" max="5" width="25.7109375" customWidth="1"/>
    <col min="6" max="8" width="10.7109375" customWidth="1"/>
    <col min="9" max="9" width="30.7109375" customWidth="1"/>
    <col min="10" max="10" width="10.7109375" customWidth="1"/>
    <col min="11" max="11" width="30.7109375" customWidth="1"/>
  </cols>
  <sheetData>
    <row r="3" spans="1:11" x14ac:dyDescent="0.25">
      <c r="A3" s="17"/>
      <c r="B3" s="2"/>
      <c r="E3" s="53" t="s">
        <v>2</v>
      </c>
      <c r="F3" s="55" t="s">
        <v>83</v>
      </c>
      <c r="G3" s="56"/>
      <c r="H3" s="56"/>
      <c r="I3" s="56"/>
      <c r="J3" s="57"/>
    </row>
    <row r="4" spans="1:11" x14ac:dyDescent="0.25">
      <c r="A4" s="17"/>
      <c r="B4" s="2"/>
      <c r="E4" s="54"/>
      <c r="F4" s="58"/>
      <c r="G4" s="59"/>
      <c r="H4" s="59"/>
      <c r="I4" s="59"/>
      <c r="J4" s="60"/>
    </row>
    <row r="5" spans="1:11" x14ac:dyDescent="0.25">
      <c r="A5" s="17"/>
      <c r="B5" s="2"/>
      <c r="E5" s="50" t="s">
        <v>0</v>
      </c>
      <c r="F5" s="55" t="s">
        <v>84</v>
      </c>
      <c r="G5" s="56"/>
      <c r="H5" s="56"/>
      <c r="I5" s="56"/>
      <c r="J5" s="57"/>
    </row>
    <row r="6" spans="1:11" x14ac:dyDescent="0.25">
      <c r="A6" s="17"/>
      <c r="B6" s="2"/>
      <c r="E6" s="51"/>
      <c r="F6" s="61"/>
      <c r="G6" s="62"/>
      <c r="H6" s="62"/>
      <c r="I6" s="62"/>
      <c r="J6" s="63"/>
    </row>
    <row r="7" spans="1:11" x14ac:dyDescent="0.25">
      <c r="A7" s="17"/>
      <c r="B7" s="2"/>
      <c r="E7" s="51"/>
      <c r="F7" s="61"/>
      <c r="G7" s="62"/>
      <c r="H7" s="62"/>
      <c r="I7" s="62"/>
      <c r="J7" s="63"/>
    </row>
    <row r="8" spans="1:11" x14ac:dyDescent="0.25">
      <c r="E8" s="51"/>
      <c r="F8" s="61"/>
      <c r="G8" s="62"/>
      <c r="H8" s="62"/>
      <c r="I8" s="62"/>
      <c r="J8" s="63"/>
    </row>
    <row r="9" spans="1:11" x14ac:dyDescent="0.25">
      <c r="E9" s="52"/>
      <c r="F9" s="58"/>
      <c r="G9" s="59"/>
      <c r="H9" s="59"/>
      <c r="I9" s="59"/>
      <c r="J9" s="60"/>
    </row>
    <row r="14" spans="1:11" x14ac:dyDescent="0.25">
      <c r="A14" s="17"/>
      <c r="B14" s="28" t="s">
        <v>1</v>
      </c>
      <c r="C14" s="2"/>
      <c r="D14" s="2"/>
      <c r="E14" s="2"/>
      <c r="F14" s="2"/>
      <c r="G14" s="2"/>
      <c r="H14" s="2"/>
      <c r="I14" s="2"/>
      <c r="J14" s="2"/>
      <c r="K14" s="2"/>
    </row>
    <row r="15" spans="1:11" ht="30" customHeight="1" x14ac:dyDescent="0.25">
      <c r="A15" s="17"/>
      <c r="B15" s="18" t="s">
        <v>3</v>
      </c>
      <c r="C15" s="11" t="s">
        <v>4</v>
      </c>
      <c r="D15" s="11" t="s">
        <v>5</v>
      </c>
      <c r="E15" s="11" t="s">
        <v>6</v>
      </c>
      <c r="F15" s="11" t="s">
        <v>7</v>
      </c>
      <c r="G15" s="11" t="s">
        <v>8</v>
      </c>
      <c r="H15" s="11" t="s">
        <v>9</v>
      </c>
      <c r="I15" s="11" t="s">
        <v>10</v>
      </c>
      <c r="J15" s="11" t="s">
        <v>11</v>
      </c>
      <c r="K15" s="18" t="s">
        <v>12</v>
      </c>
    </row>
    <row r="16" spans="1:11" x14ac:dyDescent="0.25">
      <c r="A16" s="17"/>
      <c r="B16" s="6"/>
      <c r="C16" s="45"/>
      <c r="D16" s="8"/>
      <c r="E16" s="6" t="s">
        <v>21</v>
      </c>
      <c r="F16" s="6" t="s">
        <v>81</v>
      </c>
      <c r="G16" s="19" t="s">
        <v>82</v>
      </c>
      <c r="H16" s="6">
        <v>1</v>
      </c>
      <c r="I16" s="6"/>
      <c r="J16" s="6">
        <f>I16*1.35</f>
        <v>0</v>
      </c>
      <c r="K16" s="6"/>
    </row>
    <row r="17" spans="1:11" x14ac:dyDescent="0.25">
      <c r="A17" s="17"/>
      <c r="B17" s="6"/>
      <c r="C17" s="45"/>
      <c r="D17" s="8"/>
      <c r="E17" s="6"/>
      <c r="F17" s="6"/>
      <c r="G17" s="19"/>
      <c r="H17" s="6"/>
      <c r="I17" s="6"/>
      <c r="J17" s="6">
        <f t="shared" ref="J17:J24" si="0">I17*1.35</f>
        <v>0</v>
      </c>
      <c r="K17" s="6"/>
    </row>
    <row r="18" spans="1:11" x14ac:dyDescent="0.25">
      <c r="A18" s="17"/>
      <c r="B18" s="6"/>
      <c r="C18" s="45"/>
      <c r="D18" s="8"/>
      <c r="E18" s="6"/>
      <c r="F18" s="6"/>
      <c r="G18" s="19"/>
      <c r="H18" s="6"/>
      <c r="I18" s="6"/>
      <c r="J18" s="6">
        <f t="shared" si="0"/>
        <v>0</v>
      </c>
      <c r="K18" s="6"/>
    </row>
    <row r="19" spans="1:11" x14ac:dyDescent="0.25">
      <c r="A19" s="17"/>
      <c r="B19" s="6"/>
      <c r="C19" s="45"/>
      <c r="D19" s="8"/>
      <c r="E19" s="6"/>
      <c r="F19" s="6"/>
      <c r="G19" s="19"/>
      <c r="H19" s="6"/>
      <c r="I19" s="6"/>
      <c r="J19" s="6">
        <f t="shared" si="0"/>
        <v>0</v>
      </c>
      <c r="K19" s="6"/>
    </row>
    <row r="20" spans="1:11" x14ac:dyDescent="0.25">
      <c r="A20" s="17"/>
      <c r="B20" s="6"/>
      <c r="C20" s="45"/>
      <c r="D20" s="8"/>
      <c r="E20" s="6"/>
      <c r="F20" s="6"/>
      <c r="G20" s="19"/>
      <c r="H20" s="6"/>
      <c r="I20" s="6"/>
      <c r="J20" s="6">
        <f t="shared" si="0"/>
        <v>0</v>
      </c>
      <c r="K20" s="6"/>
    </row>
    <row r="21" spans="1:11" x14ac:dyDescent="0.25">
      <c r="A21" s="17"/>
      <c r="B21" s="6"/>
      <c r="C21" s="45"/>
      <c r="D21" s="8"/>
      <c r="E21" s="6"/>
      <c r="F21" s="6"/>
      <c r="G21" s="19"/>
      <c r="H21" s="6"/>
      <c r="I21" s="6"/>
      <c r="J21" s="6">
        <f t="shared" si="0"/>
        <v>0</v>
      </c>
      <c r="K21" s="6"/>
    </row>
    <row r="22" spans="1:11" x14ac:dyDescent="0.25">
      <c r="A22" s="17"/>
      <c r="B22" s="6"/>
      <c r="C22" s="45"/>
      <c r="D22" s="8"/>
      <c r="E22" s="6"/>
      <c r="F22" s="6"/>
      <c r="G22" s="19"/>
      <c r="H22" s="6"/>
      <c r="I22" s="6"/>
      <c r="J22" s="6">
        <f t="shared" si="0"/>
        <v>0</v>
      </c>
      <c r="K22" s="6"/>
    </row>
    <row r="23" spans="1:11" x14ac:dyDescent="0.25">
      <c r="A23" s="17"/>
      <c r="B23" s="6"/>
      <c r="C23" s="45"/>
      <c r="D23" s="8"/>
      <c r="E23" s="6"/>
      <c r="F23" s="6"/>
      <c r="G23" s="19"/>
      <c r="H23" s="6"/>
      <c r="I23" s="6"/>
      <c r="J23" s="6">
        <f t="shared" si="0"/>
        <v>0</v>
      </c>
      <c r="K23" s="6"/>
    </row>
    <row r="24" spans="1:11" x14ac:dyDescent="0.25">
      <c r="A24" s="17"/>
      <c r="B24" s="6"/>
      <c r="C24" s="45"/>
      <c r="D24" s="8"/>
      <c r="E24" s="6"/>
      <c r="F24" s="6"/>
      <c r="G24" s="19"/>
      <c r="H24" s="6"/>
      <c r="I24" s="6"/>
      <c r="J24" s="6">
        <f t="shared" si="0"/>
        <v>0</v>
      </c>
      <c r="K24" s="6"/>
    </row>
    <row r="25" spans="1:11" x14ac:dyDescent="0.25">
      <c r="A25" s="17"/>
      <c r="B25" s="2"/>
      <c r="C25" s="2"/>
      <c r="D25" s="2"/>
      <c r="E25" s="44"/>
      <c r="F25" s="2"/>
      <c r="G25" s="2"/>
      <c r="H25" s="2"/>
      <c r="I25" s="2"/>
      <c r="J25" s="21">
        <f ca="1">SUM(J16:OFFSET(J25,-1,0))</f>
        <v>0</v>
      </c>
      <c r="K25" s="2"/>
    </row>
  </sheetData>
  <mergeCells count="4">
    <mergeCell ref="E3:E4"/>
    <mergeCell ref="F3:J4"/>
    <mergeCell ref="E5:E9"/>
    <mergeCell ref="F5:J9"/>
  </mergeCells>
  <dataValidations count="4">
    <dataValidation type="whole" allowBlank="1" showInputMessage="1" showErrorMessage="1" sqref="H16:H24" xr:uid="{78C9AAA4-56BA-446F-8140-A6FB6656A615}">
      <formula1>0</formula1>
      <formula2>50</formula2>
    </dataValidation>
    <dataValidation type="list" allowBlank="1" showInputMessage="1" showErrorMessage="1" sqref="G16:G24" xr:uid="{1D8A7F29-B3F3-4C5C-AB7A-3E0EFCAAED9B}">
      <formula1>"S,M,C"</formula1>
    </dataValidation>
    <dataValidation type="list" allowBlank="1" showInputMessage="1" showErrorMessage="1" sqref="F16:F24" xr:uid="{E2E627DE-43A6-4980-B02F-CC3EA161FFA9}">
      <formula1>"Création,Modification"</formula1>
    </dataValidation>
    <dataValidation type="list" allowBlank="1" showInputMessage="1" showErrorMessage="1" sqref="E16:E25" xr:uid="{D71C58B9-9A0C-414E-B271-DEED7F5AEB5C}">
      <formula1>Typologie</formula1>
    </dataValidation>
  </dataValidations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4</vt:i4>
      </vt:variant>
      <vt:variant>
        <vt:lpstr>Plages nommées</vt:lpstr>
      </vt:variant>
      <vt:variant>
        <vt:i4>3</vt:i4>
      </vt:variant>
    </vt:vector>
  </HeadingPairs>
  <TitlesOfParts>
    <vt:vector size="7" baseType="lpstr">
      <vt:lpstr>Grille d'estimation</vt:lpstr>
      <vt:lpstr>Abaques</vt:lpstr>
      <vt:lpstr>Hypothèses</vt:lpstr>
      <vt:lpstr>Chiffrage MT</vt:lpstr>
      <vt:lpstr>ImpactComplexite</vt:lpstr>
      <vt:lpstr>TableauAbaques</vt:lpstr>
      <vt:lpstr>Typologie</vt:lpstr>
    </vt:vector>
  </TitlesOfParts>
  <Company>Hewlett-Packard Company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Yassine AMRI</dc:creator>
  <cp:lastModifiedBy>MSI</cp:lastModifiedBy>
  <dcterms:created xsi:type="dcterms:W3CDTF">2017-07-12T09:14:37Z</dcterms:created>
  <dcterms:modified xsi:type="dcterms:W3CDTF">2021-08-24T21:22:43Z</dcterms:modified>
</cp:coreProperties>
</file>